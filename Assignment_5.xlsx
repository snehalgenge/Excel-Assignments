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MIN\Documents\"/>
    </mc:Choice>
  </mc:AlternateContent>
  <xr:revisionPtr revIDLastSave="0" documentId="13_ncr:1_{6E214516-E446-406B-A87E-103F4524C978}" xr6:coauthVersionLast="47" xr6:coauthVersionMax="47" xr10:uidLastSave="{00000000-0000-0000-0000-000000000000}"/>
  <bookViews>
    <workbookView xWindow="-108" yWindow="-108" windowWidth="23256" windowHeight="12576" activeTab="4" xr2:uid="{00000000-000D-0000-FFFF-FFFF00000000}"/>
  </bookViews>
  <sheets>
    <sheet name="Sales Analysis" sheetId="1" r:id="rId1"/>
    <sheet name="HR Attrition" sheetId="2" r:id="rId2"/>
    <sheet name="Inventory" sheetId="3" r:id="rId3"/>
    <sheet name="Expense Tracking" sheetId="4" r:id="rId4"/>
    <sheet name="Customer Orders" sheetId="5" r:id="rId5"/>
  </sheets>
  <definedNames>
    <definedName name="_xlnm._FilterDatabase" localSheetId="1" hidden="1">'HR Attrition'!$A$1:$H$31</definedName>
    <definedName name="NativeTimeline_Date">#N/A</definedName>
    <definedName name="Slicer_Delivery_Status">#N/A</definedName>
    <definedName name="Slicer_Product">#N/A</definedName>
    <definedName name="Slicer_Product1">#N/A</definedName>
    <definedName name="Slicer_Region">#N/A</definedName>
    <definedName name="Slicer_Warehous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4" l="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2" i="4"/>
</calcChain>
</file>

<file path=xl/sharedStrings.xml><?xml version="1.0" encoding="utf-8"?>
<sst xmlns="http://schemas.openxmlformats.org/spreadsheetml/2006/main" count="800" uniqueCount="275">
  <si>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</si>
  <si>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</si>
  <si>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</si>
  <si>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</si>
  <si>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</si>
  <si>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</si>
  <si>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</si>
  <si>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</si>
  <si>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</si>
  <si>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</si>
  <si>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</si>
  <si>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</si>
  <si>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</si>
  <si>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</si>
  <si>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</si>
  <si>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</si>
  <si>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</si>
  <si>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</si>
  <si>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</si>
  <si>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</si>
  <si>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</si>
  <si>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</si>
  <si>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</si>
  <si>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</si>
  <si>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</si>
  <si>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</si>
  <si>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</si>
  <si>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</si>
  <si>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</si>
  <si>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</si>
  <si>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</si>
  <si>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</si>
  <si>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</si>
  <si>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</si>
  <si>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</si>
  <si>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</si>
  <si>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</si>
  <si>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</si>
  <si>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</si>
  <si>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</si>
  <si>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</si>
  <si>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</si>
  <si>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</si>
  <si>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</si>
  <si>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</si>
  <si>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</si>
  <si>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</si>
  <si>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</si>
  <si>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</si>
  <si>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</si>
  <si>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</si>
  <si>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</si>
  <si>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</si>
  <si>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</si>
  <si>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</si>
  <si>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</si>
  <si>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</si>
  <si>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</si>
  <si>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</si>
  <si>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</si>
  <si>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</si>
  <si>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</si>
  <si>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</si>
  <si>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</si>
  <si>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</si>
  <si>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</si>
  <si>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</si>
  <si>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</si>
  <si>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</si>
  <si>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</si>
  <si>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</si>
  <si>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</si>
  <si>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</si>
  <si>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</si>
  <si>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</si>
  <si>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</si>
  <si>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</si>
  <si>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</si>
  <si>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</si>
  <si>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</si>
  <si>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</si>
  <si>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</si>
  <si>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</si>
  <si>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</si>
  <si>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</si>
  <si>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</si>
  <si>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</si>
  <si>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</si>
  <si>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</si>
  <si>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</si>
  <si>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</si>
  <si>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</si>
  <si>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</si>
  <si>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</si>
  <si>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</si>
  <si>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</si>
  <si>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</si>
  <si>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</si>
  <si>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</si>
  <si>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</si>
  <si>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</si>
  <si>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</si>
  <si>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</si>
  <si>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</si>
  <si>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</si>
  <si>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</si>
  <si>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</si>
  <si>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</si>
  <si>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</si>
  <si>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</si>
  <si>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</si>
  <si>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</si>
  <si>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</si>
  <si>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</si>
  <si>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</si>
  <si>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</si>
  <si>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</si>
  <si>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</si>
  <si>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</si>
  <si>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</si>
  <si>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</si>
  <si>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</si>
  <si>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</si>
  <si>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</si>
  <si>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</si>
  <si>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</si>
  <si>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</si>
  <si>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Order ID</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</si>
  <si>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</si>
  <si>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</si>
  <si>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</si>
  <si>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</si>
  <si>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</si>
  <si>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</si>
  <si>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</si>
  <si>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</si>
  <si>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</si>
  <si>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</si>
  <si>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</si>
  <si>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</si>
  <si>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</si>
  <si>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</si>
  <si>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</si>
  <si>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</si>
  <si>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</si>
  <si>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</si>
  <si>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</si>
  <si>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</si>
  <si>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</si>
  <si>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</si>
  <si>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</si>
  <si>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</si>
  <si>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</si>
  <si>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</si>
  <si>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</si>
  <si>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</si>
  <si>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</si>
  <si>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</si>
  <si>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</si>
  <si>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</si>
  <si>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</si>
  <si>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</si>
  <si>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</si>
  <si>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</si>
  <si>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</si>
  <si>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</si>
  <si>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</si>
  <si>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</si>
  <si>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</si>
  <si>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</si>
  <si>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</si>
  <si>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</si>
  <si>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</si>
  <si>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</si>
  <si>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</si>
  <si>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Total Revenue by Region</t>
  </si>
  <si>
    <t>Revenue and Profit by Salesperson</t>
  </si>
  <si>
    <t>Monthly sales trend (group by Date → Month)</t>
  </si>
  <si>
    <t>Top 5 Products by Revenue</t>
  </si>
  <si>
    <t>Line chart for monthly revenue trend</t>
  </si>
  <si>
    <t>Bar chart: Revenue by Region</t>
  </si>
  <si>
    <t>Slicer for Region/Product filter</t>
  </si>
  <si>
    <t>Column Labels</t>
  </si>
  <si>
    <t>Sum of Revenue</t>
  </si>
  <si>
    <t>Row Labels</t>
  </si>
  <si>
    <t>Sum of Profit</t>
  </si>
  <si>
    <t>Jan</t>
  </si>
  <si>
    <t>Feb</t>
  </si>
  <si>
    <t>Mar</t>
  </si>
  <si>
    <t>Apr</t>
  </si>
  <si>
    <t>May</t>
  </si>
  <si>
    <t>Jun</t>
  </si>
  <si>
    <t>Jul</t>
  </si>
  <si>
    <t>Aug</t>
  </si>
  <si>
    <t>Sep</t>
  </si>
  <si>
    <t>Oct</t>
  </si>
  <si>
    <t>Nov</t>
  </si>
  <si>
    <t>Dec</t>
  </si>
  <si>
    <t>Active employees by Department</t>
  </si>
  <si>
    <t>Attrition count by Department and Gender</t>
  </si>
  <si>
    <t>Average Age and Salary by Department</t>
  </si>
  <si>
    <t>Year-wise attrition (group Exit Date by Year)</t>
  </si>
  <si>
    <t>Donut chart for Gender split</t>
  </si>
  <si>
    <t>Column chart for attrition by department</t>
  </si>
  <si>
    <t>KPI cards: Headcount, Avg Age, Avg Salary</t>
  </si>
  <si>
    <t>Timeline filter (based on Join Date)</t>
  </si>
  <si>
    <t>Count of Employee ID</t>
  </si>
  <si>
    <t>Average of Age</t>
  </si>
  <si>
    <t>Average of Salary</t>
  </si>
  <si>
    <t>&lt;02-05-2021</t>
  </si>
  <si>
    <t>2021</t>
  </si>
  <si>
    <t>2022</t>
  </si>
  <si>
    <t>2023</t>
  </si>
  <si>
    <t>2024</t>
  </si>
  <si>
    <t>2025</t>
  </si>
  <si>
    <t>2026</t>
  </si>
  <si>
    <t>Count of Status</t>
  </si>
  <si>
    <t>Count of Gender</t>
  </si>
  <si>
    <t>Total Stock Movement (Purchased - Sold) by Product</t>
  </si>
  <si>
    <t>Closing Stock by Category</t>
  </si>
  <si>
    <t>Weekly movement trends (group by week)</t>
  </si>
  <si>
    <t>Stock level alert (Conditional formatting for low stock)</t>
  </si>
  <si>
    <t>Stacked bar: Opening vs Closing stock by Category</t>
  </si>
  <si>
    <t>Line chart for weekly product movement</t>
  </si>
  <si>
    <t>Highlight table for low stock products</t>
  </si>
  <si>
    <t>Sum of Quantity Sold</t>
  </si>
  <si>
    <t>Sum of Quantity Purchased</t>
  </si>
  <si>
    <t>Sum of Closing Stock</t>
  </si>
  <si>
    <t>11-01-2023 - 17-01-2023</t>
  </si>
  <si>
    <t>18-01-2023 - 24-01-2023</t>
  </si>
  <si>
    <t>15-02-2023 - 21-02-2023</t>
  </si>
  <si>
    <t>22-02-2023 - 28-02-2023</t>
  </si>
  <si>
    <t>01-03-2023 - 07-03-2023</t>
  </si>
  <si>
    <t>15-03-2023 - 21-03-2023</t>
  </si>
  <si>
    <t>05-04-2023 - 11-04-2023</t>
  </si>
  <si>
    <t>19-04-2023 - 25-04-2023</t>
  </si>
  <si>
    <t>03-05-2023 - 09-05-2023</t>
  </si>
  <si>
    <t>14-06-2023 - 20-06-2023</t>
  </si>
  <si>
    <t>21-06-2023 - 27-06-2023</t>
  </si>
  <si>
    <t>12-07-2023 - 18-07-2023</t>
  </si>
  <si>
    <t>09-08-2023 - 15-08-2023</t>
  </si>
  <si>
    <t>16-08-2023 - 22-08-2023</t>
  </si>
  <si>
    <t>23-08-2023 - 29-08-2023</t>
  </si>
  <si>
    <t>20-09-2023 - 26-09-2023</t>
  </si>
  <si>
    <t>11-10-2023 - 17-10-2023</t>
  </si>
  <si>
    <t>25-10-2023 - 31-10-2023</t>
  </si>
  <si>
    <t>15-11-2023 - 21-11-2023</t>
  </si>
  <si>
    <t>29-11-2023 - 05-12-2023</t>
  </si>
  <si>
    <t>06-12-2023 - 12-12-2023</t>
  </si>
  <si>
    <t>13-12-2023 - 19-12-2023</t>
  </si>
  <si>
    <t>20-12-2023 - 26-12-2023</t>
  </si>
  <si>
    <t>Sum of Opening Stock</t>
  </si>
  <si>
    <t>Budget vs Expense by Department</t>
  </si>
  <si>
    <t>% Budget Used by Category</t>
  </si>
  <si>
    <t>Monthly Expense Trend</t>
  </si>
  <si>
    <t>Project-wise expense breakdown</t>
  </si>
  <si>
    <t>Bar chart: Actual vs Budget</t>
  </si>
  <si>
    <t>Heatmap for % Budget Utilization</t>
  </si>
  <si>
    <t>Timeline filter</t>
  </si>
  <si>
    <t>KPI cards: Total Budget, Total Expense, Overrun %</t>
  </si>
  <si>
    <t>Sum of Expense Amount</t>
  </si>
  <si>
    <t>Sum of Budget</t>
  </si>
  <si>
    <t>% Budget Utilization</t>
  </si>
  <si>
    <t>Orders by Customer and Status</t>
  </si>
  <si>
    <t>Average Delivery Duration by Product</t>
  </si>
  <si>
    <t>Monthly Order Count and Value</t>
  </si>
  <si>
    <t>Delay Count by Customer</t>
  </si>
  <si>
    <t>Line chart: Monthly Orders and Revenue</t>
  </si>
  <si>
    <t>Bar chart: Delays by Customer</t>
  </si>
  <si>
    <t>Table: Avg Delivery Time by Product</t>
  </si>
  <si>
    <t>Slicer: Filter by Delivery Status/Product</t>
  </si>
  <si>
    <t>Count of Delivery Status</t>
  </si>
  <si>
    <t>Average of Delivery Duration (Days)</t>
  </si>
  <si>
    <t>Count of Order ID</t>
  </si>
  <si>
    <t>Sum of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</si>
</sst>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1" xfId="0" applyNumberFormat="1" applyBorder="1"/>
    <xf numFmtId="0" fontId="0" fillId="0" borderId="1" xfId="0" applyBorder="1"/>
    <xf numFmtId="0" fontId="2" fillId="0" borderId="1" xfId="0" applyFont="1" applyBorder="1" applyAlignment="1">
      <alignment horizontal="center" vertical="top"/>
    </xf>
    <xf numFmtId="2" fontId="0" fillId="0" borderId="0" xfId="0" applyNumberFormat="1"/>
    <xf numFmtId="1" fontId="0" fillId="0" borderId="0" xfId="0" applyNumberFormat="1"/>
    <xf numFmtId="10" fontId="0" fillId="0" borderId="0" xfId="0" applyNumberFormat="1"/>
    <xf numFmtId="2" fontId="0" fillId="0" borderId="1" xfId="0" applyNumberFormat="1" applyBorder="1"/>
  </cellXfs>
  <cellStyles count="1">
    <cellStyle name="Normal" xfId="0" builtinId="0"/>
  </cellStyles>
  <dxfs count="9">
    <dxf>
      <font>
        <color rgb="FF9C0006"/>
      </font>
      <fill>
        <patternFill>
          <bgColor rgb="FFFFC7CE"/>
        </patternFill>
      </fill>
    </dxf>
    <dxf>
      <font>
        <color theme="1"/>
      </font>
      <fill>
        <patternFill>
          <bgColor rgb="FFFF7C80"/>
        </patternFill>
      </fill>
    </dxf>
    <dxf>
      <font>
        <color rgb="FF9C0006"/>
      </font>
      <fill>
        <patternFill>
          <bgColor rgb="FFFFC7CE"/>
        </patternFill>
      </fill>
    </dxf>
    <dxf>
      <numFmt numFmtId="2" formatCode="0.00"/>
    </dxf>
    <dxf>
      <numFmt numFmtId="165" formatCode="0.0"/>
    </dxf>
    <dxf>
      <numFmt numFmtId="1" formatCode="0"/>
    </dxf>
    <dxf>
      <numFmt numFmtId="1" formatCode="0"/>
    </dxf>
    <dxf>
      <numFmt numFmtId="1" formatCode="0"/>
    </dxf>
    <dxf>
      <numFmt numFmtId="1" formatCode="0"/>
    </dxf>
  </dxfs>
  <tableStyles count="0" defaultTableStyle="TableStyleMedium9"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[Assignment_5.xlsx]Sales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19525680893149225"/>
          <c:y val="5.2910180120614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60000"/>
                <a:lumOff val="40000"/>
              </a:schemeClr>
            </a:solidFill>
            <a:round/>
          </a:ln>
          <a:effectLst/>
        </c:spPr>
        <c:marker>
          <c:symbol val="circle"/>
          <c:size val="5"/>
          <c:spPr>
            <a:solidFill>
              <a:schemeClr val="accent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60000"/>
                <a:lumOff val="40000"/>
              </a:schemeClr>
            </a:solidFill>
            <a:round/>
          </a:ln>
          <a:effectLst/>
        </c:spPr>
        <c:marker>
          <c:symbol val="circle"/>
          <c:size val="5"/>
          <c:spPr>
            <a:solidFill>
              <a:schemeClr val="accent6"/>
            </a:solidFill>
            <a:ln w="9525">
              <a:solidFill>
                <a:schemeClr val="accent1"/>
              </a:solidFill>
            </a:ln>
            <a:effectLst/>
          </c:spPr>
        </c:marker>
      </c:pivotFmt>
    </c:pivotFmts>
    <c:plotArea>
      <c:layout/>
      <c:lineChart>
        <c:grouping val="standard"/>
        <c:varyColors val="0"/>
        <c:ser>
          <c:idx val="0"/>
          <c:order val="0"/>
          <c:tx>
            <c:strRef>
              <c:f>'Sales Analysis'!$K$17</c:f>
              <c:strCache>
                <c:ptCount val="1"/>
                <c:pt idx="0">
                  <c:v>Total</c:v>
                </c:pt>
              </c:strCache>
            </c:strRef>
          </c:tx>
          <c:spPr>
            <a:ln w="28575" cap="rnd">
              <a:solidFill>
                <a:schemeClr val="accent5">
                  <a:lumMod val="60000"/>
                  <a:lumOff val="40000"/>
                </a:schemeClr>
              </a:solidFill>
              <a:round/>
            </a:ln>
            <a:effectLst/>
          </c:spPr>
          <c:marker>
            <c:symbol val="circle"/>
            <c:size val="5"/>
            <c:spPr>
              <a:solidFill>
                <a:schemeClr val="accent6"/>
              </a:solidFill>
              <a:ln w="9525">
                <a:solidFill>
                  <a:schemeClr val="accent1"/>
                </a:solidFill>
              </a:ln>
              <a:effectLst/>
            </c:spPr>
          </c:marker>
          <c:cat>
            <c:strRef>
              <c:f>'Sales Analysis'!$J$18:$J$29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Analysis'!$K$18:$K$29</c:f>
              <c:numCache>
                <c:formatCode>General</c:formatCode>
                <c:ptCount val="12"/>
                <c:pt idx="0">
                  <c:v>12630</c:v>
                </c:pt>
                <c:pt idx="1">
                  <c:v>32151</c:v>
                </c:pt>
                <c:pt idx="2">
                  <c:v>24273</c:v>
                </c:pt>
                <c:pt idx="3">
                  <c:v>36244</c:v>
                </c:pt>
                <c:pt idx="4">
                  <c:v>2180</c:v>
                </c:pt>
                <c:pt idx="5">
                  <c:v>3780</c:v>
                </c:pt>
                <c:pt idx="6">
                  <c:v>16470</c:v>
                </c:pt>
                <c:pt idx="7">
                  <c:v>18614</c:v>
                </c:pt>
                <c:pt idx="8">
                  <c:v>24674</c:v>
                </c:pt>
                <c:pt idx="9">
                  <c:v>2670</c:v>
                </c:pt>
                <c:pt idx="10">
                  <c:v>27740</c:v>
                </c:pt>
                <c:pt idx="11">
                  <c:v>20412</c:v>
                </c:pt>
              </c:numCache>
            </c:numRef>
          </c:val>
          <c:smooth val="0"/>
          <c:extLst>
            <c:ext xmlns:c16="http://schemas.microsoft.com/office/drawing/2014/chart" uri="{C3380CC4-5D6E-409C-BE32-E72D297353CC}">
              <c16:uniqueId val="{00000000-D0BC-4AC2-B0F7-D4527F358FE2}"/>
            </c:ext>
          </c:extLst>
        </c:ser>
        <c:dLbls>
          <c:showLegendKey val="0"/>
          <c:showVal val="0"/>
          <c:showCatName val="0"/>
          <c:showSerName val="0"/>
          <c:showPercent val="0"/>
          <c:showBubbleSize val="0"/>
        </c:dLbls>
        <c:marker val="1"/>
        <c:smooth val="0"/>
        <c:axId val="568307768"/>
        <c:axId val="568309528"/>
      </c:lineChart>
      <c:catAx>
        <c:axId val="56830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09528"/>
        <c:crosses val="autoZero"/>
        <c:auto val="1"/>
        <c:lblAlgn val="ctr"/>
        <c:lblOffset val="100"/>
        <c:noMultiLvlLbl val="1"/>
      </c:catAx>
      <c:valAx>
        <c:axId val="568309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1.2484394506866416E-2"/>
              <c:y val="0.369673790776152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07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[Assignment_5.xlsx]Sales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Analysis'!$K$2</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Analysis'!$J$3:$J$6</c:f>
              <c:strCache>
                <c:ptCount val="4"/>
                <c:pt idx="0">
                  <c:v>East</c:v>
                </c:pt>
                <c:pt idx="1">
                  <c:v>North</c:v>
                </c:pt>
                <c:pt idx="2">
                  <c:v>South</c:v>
                </c:pt>
                <c:pt idx="3">
                  <c:v>West</c:v>
                </c:pt>
              </c:strCache>
            </c:strRef>
          </c:cat>
          <c:val>
            <c:numRef>
              <c:f>'Sales Analysis'!$K$3:$K$6</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1028-4BFF-98D5-F9A05DDFEBA4}"/>
            </c:ext>
          </c:extLst>
        </c:ser>
        <c:dLbls>
          <c:dLblPos val="outEnd"/>
          <c:showLegendKey val="0"/>
          <c:showVal val="1"/>
          <c:showCatName val="0"/>
          <c:showSerName val="0"/>
          <c:showPercent val="0"/>
          <c:showBubbleSize val="0"/>
        </c:dLbls>
        <c:gapWidth val="182"/>
        <c:axId val="568319032"/>
        <c:axId val="568322552"/>
      </c:barChart>
      <c:catAx>
        <c:axId val="568319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22552"/>
        <c:crosses val="autoZero"/>
        <c:auto val="1"/>
        <c:lblAlgn val="ctr"/>
        <c:lblOffset val="100"/>
        <c:noMultiLvlLbl val="0"/>
      </c:catAx>
      <c:valAx>
        <c:axId val="568322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19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[Assignment_5.xlsx]HR Attrition!PivotTable12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layout>
        <c:manualLayout>
          <c:xMode val="edge"/>
          <c:yMode val="edge"/>
          <c:x val="0.34990530303030309"/>
          <c:y val="2.3809523809523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doughnutChart>
        <c:varyColors val="1"/>
        <c:ser>
          <c:idx val="0"/>
          <c:order val="0"/>
          <c:tx>
            <c:strRef>
              <c:f>'HR Attrition'!$O$2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E490-42C5-AD0C-7494504A87E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490-42C5-AD0C-7494504A87EF}"/>
              </c:ext>
            </c:extLst>
          </c:dPt>
          <c:cat>
            <c:strRef>
              <c:f>'HR Attrition'!$N$3:$N$4</c:f>
              <c:strCache>
                <c:ptCount val="2"/>
                <c:pt idx="0">
                  <c:v>Female</c:v>
                </c:pt>
                <c:pt idx="1">
                  <c:v>Male</c:v>
                </c:pt>
              </c:strCache>
            </c:strRef>
          </c:cat>
          <c:val>
            <c:numRef>
              <c:f>'HR Attrition'!$O$3:$O$4</c:f>
              <c:numCache>
                <c:formatCode>General</c:formatCode>
                <c:ptCount val="2"/>
                <c:pt idx="0">
                  <c:v>13</c:v>
                </c:pt>
                <c:pt idx="1">
                  <c:v>17</c:v>
                </c:pt>
              </c:numCache>
            </c:numRef>
          </c:val>
          <c:extLst>
            <c:ext xmlns:c16="http://schemas.microsoft.com/office/drawing/2014/chart" uri="{C3380CC4-5D6E-409C-BE32-E72D297353CC}">
              <c16:uniqueId val="{00000000-F3B4-4A30-8A89-A6B7E78424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[Assignment_5.xlsx]HR Attrition!PivotTable13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Attrition by department</a:t>
            </a:r>
          </a:p>
        </c:rich>
      </c:tx>
      <c:layout>
        <c:manualLayout>
          <c:xMode val="edge"/>
          <c:yMode val="edge"/>
          <c:x val="0.2112603305785124"/>
          <c:y val="3.8610038610038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Attrition'!$O$18:$O$19</c:f>
              <c:strCache>
                <c:ptCount val="1"/>
                <c:pt idx="0">
                  <c:v>Active</c:v>
                </c:pt>
              </c:strCache>
            </c:strRef>
          </c:tx>
          <c:spPr>
            <a:solidFill>
              <a:schemeClr val="accent6"/>
            </a:solidFill>
            <a:ln>
              <a:noFill/>
            </a:ln>
            <a:effectLst/>
          </c:spPr>
          <c:invertIfNegative val="0"/>
          <c:cat>
            <c:strRef>
              <c:f>'HR Attrition'!$N$20:$N$24</c:f>
              <c:strCache>
                <c:ptCount val="5"/>
                <c:pt idx="0">
                  <c:v>Finance</c:v>
                </c:pt>
                <c:pt idx="1">
                  <c:v>HR</c:v>
                </c:pt>
                <c:pt idx="2">
                  <c:v>IT</c:v>
                </c:pt>
                <c:pt idx="3">
                  <c:v>Sales</c:v>
                </c:pt>
                <c:pt idx="4">
                  <c:v>Support</c:v>
                </c:pt>
              </c:strCache>
            </c:strRef>
          </c:cat>
          <c:val>
            <c:numRef>
              <c:f>'HR Attrition'!$O$20:$O$24</c:f>
              <c:numCache>
                <c:formatCode>General</c:formatCode>
                <c:ptCount val="5"/>
                <c:pt idx="1">
                  <c:v>2</c:v>
                </c:pt>
                <c:pt idx="2">
                  <c:v>5</c:v>
                </c:pt>
                <c:pt idx="3">
                  <c:v>1</c:v>
                </c:pt>
                <c:pt idx="4">
                  <c:v>2</c:v>
                </c:pt>
              </c:numCache>
            </c:numRef>
          </c:val>
          <c:extLst>
            <c:ext xmlns:c16="http://schemas.microsoft.com/office/drawing/2014/chart" uri="{C3380CC4-5D6E-409C-BE32-E72D297353CC}">
              <c16:uniqueId val="{00000000-E16A-4C28-B7FE-DFF3197CD4BC}"/>
            </c:ext>
          </c:extLst>
        </c:ser>
        <c:ser>
          <c:idx val="1"/>
          <c:order val="1"/>
          <c:tx>
            <c:strRef>
              <c:f>'HR Attrition'!$P$18:$P$19</c:f>
              <c:strCache>
                <c:ptCount val="1"/>
                <c:pt idx="0">
                  <c:v>Resigned</c:v>
                </c:pt>
              </c:strCache>
            </c:strRef>
          </c:tx>
          <c:spPr>
            <a:solidFill>
              <a:schemeClr val="accent5"/>
            </a:solidFill>
            <a:ln>
              <a:noFill/>
            </a:ln>
            <a:effectLst/>
          </c:spPr>
          <c:invertIfNegative val="0"/>
          <c:cat>
            <c:strRef>
              <c:f>'HR Attrition'!$N$20:$N$24</c:f>
              <c:strCache>
                <c:ptCount val="5"/>
                <c:pt idx="0">
                  <c:v>Finance</c:v>
                </c:pt>
                <c:pt idx="1">
                  <c:v>HR</c:v>
                </c:pt>
                <c:pt idx="2">
                  <c:v>IT</c:v>
                </c:pt>
                <c:pt idx="3">
                  <c:v>Sales</c:v>
                </c:pt>
                <c:pt idx="4">
                  <c:v>Support</c:v>
                </c:pt>
              </c:strCache>
            </c:strRef>
          </c:cat>
          <c:val>
            <c:numRef>
              <c:f>'HR Attrition'!$P$20:$P$24</c:f>
              <c:numCache>
                <c:formatCode>General</c:formatCode>
                <c:ptCount val="5"/>
                <c:pt idx="0">
                  <c:v>8</c:v>
                </c:pt>
                <c:pt idx="1">
                  <c:v>2</c:v>
                </c:pt>
                <c:pt idx="2">
                  <c:v>2</c:v>
                </c:pt>
                <c:pt idx="3">
                  <c:v>4</c:v>
                </c:pt>
                <c:pt idx="4">
                  <c:v>4</c:v>
                </c:pt>
              </c:numCache>
            </c:numRef>
          </c:val>
          <c:extLst>
            <c:ext xmlns:c16="http://schemas.microsoft.com/office/drawing/2014/chart" uri="{C3380CC4-5D6E-409C-BE32-E72D297353CC}">
              <c16:uniqueId val="{00000001-E16A-4C28-B7FE-DFF3197CD4BC}"/>
            </c:ext>
          </c:extLst>
        </c:ser>
        <c:dLbls>
          <c:showLegendKey val="0"/>
          <c:showVal val="0"/>
          <c:showCatName val="0"/>
          <c:showSerName val="0"/>
          <c:showPercent val="0"/>
          <c:showBubbleSize val="0"/>
        </c:dLbls>
        <c:gapWidth val="219"/>
        <c:overlap val="-27"/>
        <c:axId val="568322904"/>
        <c:axId val="568322200"/>
      </c:barChart>
      <c:catAx>
        <c:axId val="56832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22200"/>
        <c:crosses val="autoZero"/>
        <c:auto val="1"/>
        <c:lblAlgn val="ctr"/>
        <c:lblOffset val="100"/>
        <c:noMultiLvlLbl val="0"/>
      </c:catAx>
      <c:valAx>
        <c:axId val="568322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322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[Assignment_5.xlsx]Inventory!PivotTable21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Opening vs Closing stock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7675976559767"/>
          <c:y val="0.16671525315060809"/>
          <c:w val="0.65958727849960141"/>
          <c:h val="0.70975786900683213"/>
        </c:manualLayout>
      </c:layout>
      <c:barChart>
        <c:barDir val="bar"/>
        <c:grouping val="stacked"/>
        <c:varyColors val="0"/>
        <c:ser>
          <c:idx val="0"/>
          <c:order val="0"/>
          <c:tx>
            <c:strRef>
              <c:f>Inventory!$O$2</c:f>
              <c:strCache>
                <c:ptCount val="1"/>
                <c:pt idx="0">
                  <c:v>Sum of Opening Stock</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Inventory!$N$3:$N$5</c:f>
              <c:strCache>
                <c:ptCount val="3"/>
                <c:pt idx="0">
                  <c:v>Electronics</c:v>
                </c:pt>
                <c:pt idx="1">
                  <c:v>Furniture</c:v>
                </c:pt>
                <c:pt idx="2">
                  <c:v>Stationery</c:v>
                </c:pt>
              </c:strCache>
            </c:strRef>
          </c:cat>
          <c:val>
            <c:numRef>
              <c:f>Inventory!$O$3:$O$5</c:f>
              <c:numCache>
                <c:formatCode>General</c:formatCode>
                <c:ptCount val="3"/>
                <c:pt idx="0">
                  <c:v>1850</c:v>
                </c:pt>
                <c:pt idx="1">
                  <c:v>652</c:v>
                </c:pt>
                <c:pt idx="2">
                  <c:v>1232</c:v>
                </c:pt>
              </c:numCache>
            </c:numRef>
          </c:val>
          <c:extLst>
            <c:ext xmlns:c16="http://schemas.microsoft.com/office/drawing/2014/chart" uri="{C3380CC4-5D6E-409C-BE32-E72D297353CC}">
              <c16:uniqueId val="{00000000-AF4B-40B8-BF8F-5B939400B37C}"/>
            </c:ext>
          </c:extLst>
        </c:ser>
        <c:ser>
          <c:idx val="1"/>
          <c:order val="1"/>
          <c:tx>
            <c:strRef>
              <c:f>Inventory!$P$2</c:f>
              <c:strCache>
                <c:ptCount val="1"/>
                <c:pt idx="0">
                  <c:v>Sum of Closing Stock</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Inventory!$N$3:$N$5</c:f>
              <c:strCache>
                <c:ptCount val="3"/>
                <c:pt idx="0">
                  <c:v>Electronics</c:v>
                </c:pt>
                <c:pt idx="1">
                  <c:v>Furniture</c:v>
                </c:pt>
                <c:pt idx="2">
                  <c:v>Stationery</c:v>
                </c:pt>
              </c:strCache>
            </c:strRef>
          </c:cat>
          <c:val>
            <c:numRef>
              <c:f>Inventory!$P$3:$P$5</c:f>
              <c:numCache>
                <c:formatCode>General</c:formatCode>
                <c:ptCount val="3"/>
                <c:pt idx="0">
                  <c:v>1874</c:v>
                </c:pt>
                <c:pt idx="1">
                  <c:v>592</c:v>
                </c:pt>
                <c:pt idx="2">
                  <c:v>1343</c:v>
                </c:pt>
              </c:numCache>
            </c:numRef>
          </c:val>
          <c:extLst>
            <c:ext xmlns:c16="http://schemas.microsoft.com/office/drawing/2014/chart" uri="{C3380CC4-5D6E-409C-BE32-E72D297353CC}">
              <c16:uniqueId val="{00000001-AF4B-40B8-BF8F-5B939400B37C}"/>
            </c:ext>
          </c:extLst>
        </c:ser>
        <c:dLbls>
          <c:dLblPos val="ctr"/>
          <c:showLegendKey val="0"/>
          <c:showVal val="1"/>
          <c:showCatName val="0"/>
          <c:showSerName val="0"/>
          <c:showPercent val="0"/>
          <c:showBubbleSize val="0"/>
        </c:dLbls>
        <c:gapWidth val="150"/>
        <c:overlap val="100"/>
        <c:axId val="567291160"/>
        <c:axId val="567291512"/>
      </c:barChart>
      <c:catAx>
        <c:axId val="567291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91512"/>
        <c:crosses val="autoZero"/>
        <c:auto val="1"/>
        <c:lblAlgn val="ctr"/>
        <c:lblOffset val="100"/>
        <c:noMultiLvlLbl val="0"/>
      </c:catAx>
      <c:valAx>
        <c:axId val="567291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91160"/>
        <c:crosses val="autoZero"/>
        <c:crossBetween val="between"/>
      </c:valAx>
      <c:spPr>
        <a:noFill/>
        <a:ln>
          <a:noFill/>
        </a:ln>
        <a:effectLst/>
      </c:spPr>
    </c:plotArea>
    <c:legend>
      <c:legendPos val="r"/>
      <c:layout>
        <c:manualLayout>
          <c:xMode val="edge"/>
          <c:yMode val="edge"/>
          <c:x val="0.80681762026638326"/>
          <c:y val="0.18650096852909359"/>
          <c:w val="0.17542039039081037"/>
          <c:h val="0.65894694473095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[Assignment_5.xlsx]Inventory!PivotTable19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product movement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98206394219003"/>
          <c:y val="0.17171296296296296"/>
          <c:w val="0.72915736995398428"/>
          <c:h val="0.43579396325459319"/>
        </c:manualLayout>
      </c:layout>
      <c:lineChart>
        <c:grouping val="standard"/>
        <c:varyColors val="0"/>
        <c:ser>
          <c:idx val="0"/>
          <c:order val="0"/>
          <c:tx>
            <c:strRef>
              <c:f>Inventory!$K$15</c:f>
              <c:strCache>
                <c:ptCount val="1"/>
                <c:pt idx="0">
                  <c:v>Sum of Quantity Sold</c:v>
                </c:pt>
              </c:strCache>
            </c:strRef>
          </c:tx>
          <c:spPr>
            <a:ln w="28575" cap="rnd">
              <a:solidFill>
                <a:schemeClr val="accent1"/>
              </a:solidFill>
              <a:round/>
            </a:ln>
            <a:effectLst/>
          </c:spPr>
          <c:marker>
            <c:symbol val="none"/>
          </c:marker>
          <c:cat>
            <c:strRef>
              <c:f>Inventory!$J$16:$J$38</c:f>
              <c:strCache>
                <c:ptCount val="23"/>
                <c:pt idx="0">
                  <c:v>11-01-2023 - 17-01-2023</c:v>
                </c:pt>
                <c:pt idx="1">
                  <c:v>18-01-2023 - 24-01-2023</c:v>
                </c:pt>
                <c:pt idx="2">
                  <c:v>15-02-2023 - 21-02-2023</c:v>
                </c:pt>
                <c:pt idx="3">
                  <c:v>22-02-2023 - 28-02-2023</c:v>
                </c:pt>
                <c:pt idx="4">
                  <c:v>01-03-2023 - 07-03-2023</c:v>
                </c:pt>
                <c:pt idx="5">
                  <c:v>15-03-2023 - 21-03-2023</c:v>
                </c:pt>
                <c:pt idx="6">
                  <c:v>05-04-2023 - 11-04-2023</c:v>
                </c:pt>
                <c:pt idx="7">
                  <c:v>19-04-2023 - 25-04-2023</c:v>
                </c:pt>
                <c:pt idx="8">
                  <c:v>03-05-2023 - 09-05-2023</c:v>
                </c:pt>
                <c:pt idx="9">
                  <c:v>14-06-2023 - 20-06-2023</c:v>
                </c:pt>
                <c:pt idx="10">
                  <c:v>21-06-2023 - 27-06-2023</c:v>
                </c:pt>
                <c:pt idx="11">
                  <c:v>12-07-2023 - 18-07-2023</c:v>
                </c:pt>
                <c:pt idx="12">
                  <c:v>09-08-2023 - 15-08-2023</c:v>
                </c:pt>
                <c:pt idx="13">
                  <c:v>16-08-2023 - 22-08-2023</c:v>
                </c:pt>
                <c:pt idx="14">
                  <c:v>23-08-2023 - 29-08-2023</c:v>
                </c:pt>
                <c:pt idx="15">
                  <c:v>20-09-2023 - 26-09-2023</c:v>
                </c:pt>
                <c:pt idx="16">
                  <c:v>11-10-2023 - 17-10-2023</c:v>
                </c:pt>
                <c:pt idx="17">
                  <c:v>25-10-2023 - 31-10-2023</c:v>
                </c:pt>
                <c:pt idx="18">
                  <c:v>15-11-2023 - 21-11-2023</c:v>
                </c:pt>
                <c:pt idx="19">
                  <c:v>29-11-2023 - 05-12-2023</c:v>
                </c:pt>
                <c:pt idx="20">
                  <c:v>06-12-2023 - 12-12-2023</c:v>
                </c:pt>
                <c:pt idx="21">
                  <c:v>13-12-2023 - 19-12-2023</c:v>
                </c:pt>
                <c:pt idx="22">
                  <c:v>20-12-2023 - 26-12-2023</c:v>
                </c:pt>
              </c:strCache>
            </c:strRef>
          </c:cat>
          <c:val>
            <c:numRef>
              <c:f>Inventory!$K$16:$K$38</c:f>
              <c:numCache>
                <c:formatCode>General</c:formatCode>
                <c:ptCount val="23"/>
                <c:pt idx="0">
                  <c:v>133</c:v>
                </c:pt>
                <c:pt idx="1">
                  <c:v>92</c:v>
                </c:pt>
                <c:pt idx="2">
                  <c:v>43</c:v>
                </c:pt>
                <c:pt idx="3">
                  <c:v>79</c:v>
                </c:pt>
                <c:pt idx="4">
                  <c:v>68</c:v>
                </c:pt>
                <c:pt idx="5">
                  <c:v>78</c:v>
                </c:pt>
                <c:pt idx="6">
                  <c:v>66</c:v>
                </c:pt>
                <c:pt idx="7">
                  <c:v>55</c:v>
                </c:pt>
                <c:pt idx="8">
                  <c:v>46</c:v>
                </c:pt>
                <c:pt idx="9">
                  <c:v>15</c:v>
                </c:pt>
                <c:pt idx="10">
                  <c:v>56</c:v>
                </c:pt>
                <c:pt idx="11">
                  <c:v>70</c:v>
                </c:pt>
                <c:pt idx="12">
                  <c:v>81</c:v>
                </c:pt>
                <c:pt idx="13">
                  <c:v>80</c:v>
                </c:pt>
                <c:pt idx="14">
                  <c:v>40</c:v>
                </c:pt>
                <c:pt idx="15">
                  <c:v>118</c:v>
                </c:pt>
                <c:pt idx="16">
                  <c:v>75</c:v>
                </c:pt>
                <c:pt idx="17">
                  <c:v>82</c:v>
                </c:pt>
                <c:pt idx="18">
                  <c:v>20</c:v>
                </c:pt>
                <c:pt idx="19">
                  <c:v>68</c:v>
                </c:pt>
                <c:pt idx="20">
                  <c:v>67</c:v>
                </c:pt>
                <c:pt idx="21">
                  <c:v>44</c:v>
                </c:pt>
                <c:pt idx="22">
                  <c:v>68</c:v>
                </c:pt>
              </c:numCache>
            </c:numRef>
          </c:val>
          <c:smooth val="0"/>
          <c:extLst>
            <c:ext xmlns:c16="http://schemas.microsoft.com/office/drawing/2014/chart" uri="{C3380CC4-5D6E-409C-BE32-E72D297353CC}">
              <c16:uniqueId val="{00000000-8E09-4AE6-BC8A-E8759AA4832D}"/>
            </c:ext>
          </c:extLst>
        </c:ser>
        <c:ser>
          <c:idx val="1"/>
          <c:order val="1"/>
          <c:tx>
            <c:strRef>
              <c:f>Inventory!$L$15</c:f>
              <c:strCache>
                <c:ptCount val="1"/>
                <c:pt idx="0">
                  <c:v>Sum of Quantity Purchased</c:v>
                </c:pt>
              </c:strCache>
            </c:strRef>
          </c:tx>
          <c:spPr>
            <a:ln w="28575" cap="rnd">
              <a:solidFill>
                <a:schemeClr val="accent3"/>
              </a:solidFill>
              <a:round/>
            </a:ln>
            <a:effectLst/>
          </c:spPr>
          <c:marker>
            <c:symbol val="none"/>
          </c:marker>
          <c:cat>
            <c:strRef>
              <c:f>Inventory!$J$16:$J$38</c:f>
              <c:strCache>
                <c:ptCount val="23"/>
                <c:pt idx="0">
                  <c:v>11-01-2023 - 17-01-2023</c:v>
                </c:pt>
                <c:pt idx="1">
                  <c:v>18-01-2023 - 24-01-2023</c:v>
                </c:pt>
                <c:pt idx="2">
                  <c:v>15-02-2023 - 21-02-2023</c:v>
                </c:pt>
                <c:pt idx="3">
                  <c:v>22-02-2023 - 28-02-2023</c:v>
                </c:pt>
                <c:pt idx="4">
                  <c:v>01-03-2023 - 07-03-2023</c:v>
                </c:pt>
                <c:pt idx="5">
                  <c:v>15-03-2023 - 21-03-2023</c:v>
                </c:pt>
                <c:pt idx="6">
                  <c:v>05-04-2023 - 11-04-2023</c:v>
                </c:pt>
                <c:pt idx="7">
                  <c:v>19-04-2023 - 25-04-2023</c:v>
                </c:pt>
                <c:pt idx="8">
                  <c:v>03-05-2023 - 09-05-2023</c:v>
                </c:pt>
                <c:pt idx="9">
                  <c:v>14-06-2023 - 20-06-2023</c:v>
                </c:pt>
                <c:pt idx="10">
                  <c:v>21-06-2023 - 27-06-2023</c:v>
                </c:pt>
                <c:pt idx="11">
                  <c:v>12-07-2023 - 18-07-2023</c:v>
                </c:pt>
                <c:pt idx="12">
                  <c:v>09-08-2023 - 15-08-2023</c:v>
                </c:pt>
                <c:pt idx="13">
                  <c:v>16-08-2023 - 22-08-2023</c:v>
                </c:pt>
                <c:pt idx="14">
                  <c:v>23-08-2023 - 29-08-2023</c:v>
                </c:pt>
                <c:pt idx="15">
                  <c:v>20-09-2023 - 26-09-2023</c:v>
                </c:pt>
                <c:pt idx="16">
                  <c:v>11-10-2023 - 17-10-2023</c:v>
                </c:pt>
                <c:pt idx="17">
                  <c:v>25-10-2023 - 31-10-2023</c:v>
                </c:pt>
                <c:pt idx="18">
                  <c:v>15-11-2023 - 21-11-2023</c:v>
                </c:pt>
                <c:pt idx="19">
                  <c:v>29-11-2023 - 05-12-2023</c:v>
                </c:pt>
                <c:pt idx="20">
                  <c:v>06-12-2023 - 12-12-2023</c:v>
                </c:pt>
                <c:pt idx="21">
                  <c:v>13-12-2023 - 19-12-2023</c:v>
                </c:pt>
                <c:pt idx="22">
                  <c:v>20-12-2023 - 26-12-2023</c:v>
                </c:pt>
              </c:strCache>
            </c:strRef>
          </c:cat>
          <c:val>
            <c:numRef>
              <c:f>Inventory!$L$16:$L$38</c:f>
              <c:numCache>
                <c:formatCode>General</c:formatCode>
                <c:ptCount val="23"/>
                <c:pt idx="0">
                  <c:v>102</c:v>
                </c:pt>
                <c:pt idx="1">
                  <c:v>144</c:v>
                </c:pt>
                <c:pt idx="2">
                  <c:v>87</c:v>
                </c:pt>
                <c:pt idx="3">
                  <c:v>25</c:v>
                </c:pt>
                <c:pt idx="4">
                  <c:v>57</c:v>
                </c:pt>
                <c:pt idx="5">
                  <c:v>91</c:v>
                </c:pt>
                <c:pt idx="6">
                  <c:v>50</c:v>
                </c:pt>
                <c:pt idx="7">
                  <c:v>68</c:v>
                </c:pt>
                <c:pt idx="8">
                  <c:v>66</c:v>
                </c:pt>
                <c:pt idx="9">
                  <c:v>49</c:v>
                </c:pt>
                <c:pt idx="10">
                  <c:v>70</c:v>
                </c:pt>
                <c:pt idx="11">
                  <c:v>75</c:v>
                </c:pt>
                <c:pt idx="12">
                  <c:v>70</c:v>
                </c:pt>
                <c:pt idx="13">
                  <c:v>84</c:v>
                </c:pt>
                <c:pt idx="14">
                  <c:v>28</c:v>
                </c:pt>
                <c:pt idx="15">
                  <c:v>72</c:v>
                </c:pt>
                <c:pt idx="16">
                  <c:v>81</c:v>
                </c:pt>
                <c:pt idx="17">
                  <c:v>156</c:v>
                </c:pt>
                <c:pt idx="18">
                  <c:v>59</c:v>
                </c:pt>
                <c:pt idx="19">
                  <c:v>46</c:v>
                </c:pt>
                <c:pt idx="20">
                  <c:v>63</c:v>
                </c:pt>
                <c:pt idx="21">
                  <c:v>29</c:v>
                </c:pt>
                <c:pt idx="22">
                  <c:v>47</c:v>
                </c:pt>
              </c:numCache>
            </c:numRef>
          </c:val>
          <c:smooth val="0"/>
          <c:extLst>
            <c:ext xmlns:c16="http://schemas.microsoft.com/office/drawing/2014/chart" uri="{C3380CC4-5D6E-409C-BE32-E72D297353CC}">
              <c16:uniqueId val="{00000002-8E09-4AE6-BC8A-E8759AA4832D}"/>
            </c:ext>
          </c:extLst>
        </c:ser>
        <c:dLbls>
          <c:showLegendKey val="0"/>
          <c:showVal val="0"/>
          <c:showCatName val="0"/>
          <c:showSerName val="0"/>
          <c:showPercent val="0"/>
          <c:showBubbleSize val="0"/>
        </c:dLbls>
        <c:smooth val="0"/>
        <c:axId val="567295384"/>
        <c:axId val="394766576"/>
      </c:lineChart>
      <c:catAx>
        <c:axId val="567295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66576"/>
        <c:crosses val="autoZero"/>
        <c:auto val="1"/>
        <c:lblAlgn val="ctr"/>
        <c:lblOffset val="100"/>
        <c:noMultiLvlLbl val="0"/>
      </c:catAx>
      <c:valAx>
        <c:axId val="39476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95384"/>
        <c:crosses val="autoZero"/>
        <c:crossBetween val="between"/>
      </c:valAx>
      <c:spPr>
        <a:noFill/>
        <a:ln>
          <a:noFill/>
        </a:ln>
        <a:effectLst/>
      </c:spPr>
    </c:plotArea>
    <c:legend>
      <c:legendPos val="r"/>
      <c:layout>
        <c:manualLayout>
          <c:xMode val="edge"/>
          <c:yMode val="edge"/>
          <c:x val="0.84363025234277156"/>
          <c:y val="0.12173483522892972"/>
          <c:w val="0.1380882120082339"/>
          <c:h val="0.81250218722659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[Assignment_5.xlsx]Expense Tracking!PivotTable26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Actual vs Budget</a:t>
            </a:r>
          </a:p>
        </c:rich>
      </c:tx>
      <c:layout>
        <c:manualLayout>
          <c:xMode val="edge"/>
          <c:yMode val="edge"/>
          <c:x val="0.30275779376498801"/>
          <c:y val="9.29368029739776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02785173436055"/>
          <c:y val="0.22980173482032218"/>
          <c:w val="0.69591972091618048"/>
          <c:h val="0.62646674277239511"/>
        </c:manualLayout>
      </c:layout>
      <c:barChart>
        <c:barDir val="bar"/>
        <c:grouping val="clustered"/>
        <c:varyColors val="0"/>
        <c:ser>
          <c:idx val="0"/>
          <c:order val="0"/>
          <c:tx>
            <c:strRef>
              <c:f>'Expense Tracking'!$M$2</c:f>
              <c:strCache>
                <c:ptCount val="1"/>
                <c:pt idx="0">
                  <c:v>Sum of Expense Amount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Tracking'!$M$3</c:f>
              <c:strCache>
                <c:ptCount val="1"/>
                <c:pt idx="0">
                  <c:v>Total</c:v>
                </c:pt>
              </c:strCache>
            </c:strRef>
          </c:cat>
          <c:val>
            <c:numRef>
              <c:f>'Expense Tracking'!$M$3</c:f>
              <c:numCache>
                <c:formatCode>General</c:formatCode>
                <c:ptCount val="1"/>
                <c:pt idx="0">
                  <c:v>154861</c:v>
                </c:pt>
              </c:numCache>
            </c:numRef>
          </c:val>
          <c:extLst>
            <c:ext xmlns:c16="http://schemas.microsoft.com/office/drawing/2014/chart" uri="{C3380CC4-5D6E-409C-BE32-E72D297353CC}">
              <c16:uniqueId val="{00000000-F2C6-4CF1-9C23-0B86D29878F1}"/>
            </c:ext>
          </c:extLst>
        </c:ser>
        <c:ser>
          <c:idx val="1"/>
          <c:order val="1"/>
          <c:tx>
            <c:strRef>
              <c:f>'Expense Tracking'!$N$2</c:f>
              <c:strCache>
                <c:ptCount val="1"/>
                <c:pt idx="0">
                  <c:v>Sum of Budget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'Expense Tracking'!$M$3</c:f>
              <c:strCache>
                <c:ptCount val="1"/>
                <c:pt idx="0">
                  <c:v>Total</c:v>
                </c:pt>
              </c:strCache>
            </c:strRef>
          </c:cat>
          <c:val>
            <c:numRef>
              <c:f>'Expense Tracking'!$N$3</c:f>
              <c:numCache>
                <c:formatCode>General</c:formatCode>
                <c:ptCount val="1"/>
                <c:pt idx="0">
                  <c:v>291137</c:v>
                </c:pt>
              </c:numCache>
            </c:numRef>
          </c:val>
          <c:extLst>
            <c:ext xmlns:c16="http://schemas.microsoft.com/office/drawing/2014/chart" uri="{C3380CC4-5D6E-409C-BE32-E72D297353CC}">
              <c16:uniqueId val="{00000001-F2C6-4CF1-9C23-0B86D29878F1}"/>
            </c:ext>
          </c:extLst>
        </c:ser>
        <c:dLbls>
          <c:dLblPos val="ctr"/>
          <c:showLegendKey val="0"/>
          <c:showVal val="1"/>
          <c:showCatName val="0"/>
          <c:showSerName val="0"/>
          <c:showPercent val="0"/>
          <c:showBubbleSize val="0"/>
        </c:dLbls>
        <c:gapWidth val="182"/>
        <c:axId val="505104976"/>
        <c:axId val="469668720"/>
      </c:barChart>
      <c:catAx>
        <c:axId val="5051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68720"/>
        <c:crosses val="autoZero"/>
        <c:auto val="1"/>
        <c:lblAlgn val="ctr"/>
        <c:lblOffset val="100"/>
        <c:noMultiLvlLbl val="0"/>
      </c:catAx>
      <c:valAx>
        <c:axId val="469668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04976"/>
        <c:crosses val="autoZero"/>
        <c:crossBetween val="between"/>
      </c:valAx>
      <c:spPr>
        <a:noFill/>
        <a:ln>
          <a:noFill/>
        </a:ln>
        <a:effectLst/>
      </c:spPr>
    </c:plotArea>
    <c:legend>
      <c:legendPos val="r"/>
      <c:layout>
        <c:manualLayout>
          <c:xMode val="edge"/>
          <c:yMode val="edge"/>
          <c:x val="0.81896915538435389"/>
          <c:y val="0.20365453853584287"/>
          <c:w val="0.16304523310485469"/>
          <c:h val="0.7295553669174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[Assignment_5.xlsx]Customer Orders!PivotTable30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Orders and Revenue </a:t>
            </a:r>
          </a:p>
        </c:rich>
      </c:tx>
      <c:layout>
        <c:manualLayout>
          <c:xMode val="edge"/>
          <c:yMode val="edge"/>
          <c:x val="0.2626663347613993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5250653984392"/>
          <c:y val="0.14705811551662551"/>
          <c:w val="0.71713963167249672"/>
          <c:h val="0.74554232865862169"/>
        </c:manualLayout>
      </c:layout>
      <c:lineChart>
        <c:grouping val="standard"/>
        <c:varyColors val="0"/>
        <c:ser>
          <c:idx val="0"/>
          <c:order val="0"/>
          <c:tx>
            <c:strRef>
              <c:f>'Customer Orders'!$K$18</c:f>
              <c:strCache>
                <c:ptCount val="1"/>
                <c:pt idx="0">
                  <c:v>Count of Order ID</c:v>
                </c:pt>
              </c:strCache>
            </c:strRef>
          </c:tx>
          <c:spPr>
            <a:ln w="28575" cap="rnd">
              <a:solidFill>
                <a:schemeClr val="accent5">
                  <a:lumMod val="60000"/>
                  <a:lumOff val="40000"/>
                </a:schemeClr>
              </a:solidFill>
              <a:round/>
            </a:ln>
            <a:effectLst/>
          </c:spPr>
          <c:marker>
            <c:symbol val="none"/>
          </c:marker>
          <c:cat>
            <c:strRef>
              <c:f>'Customer Orders'!$J$19:$J$28</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Orders'!$K$19:$K$28</c:f>
              <c:numCache>
                <c:formatCode>0</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0-2098-4324-B0B4-924FB3F57E32}"/>
            </c:ext>
          </c:extLst>
        </c:ser>
        <c:ser>
          <c:idx val="1"/>
          <c:order val="1"/>
          <c:tx>
            <c:strRef>
              <c:f>'Customer Orders'!$L$18</c:f>
              <c:strCache>
                <c:ptCount val="1"/>
                <c:pt idx="0">
                  <c:v>Sum of Order Value</c:v>
                </c:pt>
              </c:strCache>
            </c:strRef>
          </c:tx>
          <c:spPr>
            <a:ln w="28575" cap="rnd">
              <a:solidFill>
                <a:srgbClr val="92D050"/>
              </a:solidFill>
              <a:round/>
            </a:ln>
            <a:effectLst/>
          </c:spPr>
          <c:marker>
            <c:symbol val="circle"/>
            <c:size val="5"/>
            <c:spPr>
              <a:solidFill>
                <a:schemeClr val="accent5"/>
              </a:solidFill>
              <a:ln w="9525">
                <a:solidFill>
                  <a:schemeClr val="accent5"/>
                </a:solidFill>
              </a:ln>
              <a:effectLst/>
            </c:spPr>
          </c:marker>
          <c:cat>
            <c:strRef>
              <c:f>'Customer Orders'!$J$19:$J$28</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Orders'!$L$19:$L$28</c:f>
              <c:numCache>
                <c:formatCode>0</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1-2098-4324-B0B4-924FB3F57E32}"/>
            </c:ext>
          </c:extLst>
        </c:ser>
        <c:dLbls>
          <c:showLegendKey val="0"/>
          <c:showVal val="0"/>
          <c:showCatName val="0"/>
          <c:showSerName val="0"/>
          <c:showPercent val="0"/>
          <c:showBubbleSize val="0"/>
        </c:dLbls>
        <c:smooth val="0"/>
        <c:axId val="604667864"/>
        <c:axId val="604668920"/>
      </c:lineChart>
      <c:catAx>
        <c:axId val="60466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68920"/>
        <c:crosses val="autoZero"/>
        <c:auto val="1"/>
        <c:lblAlgn val="ctr"/>
        <c:lblOffset val="100"/>
        <c:noMultiLvlLbl val="0"/>
      </c:catAx>
      <c:valAx>
        <c:axId val="6046689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67864"/>
        <c:crosses val="autoZero"/>
        <c:crossBetween val="between"/>
      </c:valAx>
      <c:spPr>
        <a:noFill/>
        <a:ln>
          <a:solidFill>
            <a:schemeClr val="accent3"/>
          </a:solidFill>
        </a:ln>
        <a:effectLst/>
      </c:spPr>
    </c:plotArea>
    <c:legend>
      <c:legendPos val="r"/>
      <c:layout>
        <c:manualLayout>
          <c:xMode val="edge"/>
          <c:yMode val="edge"/>
          <c:x val="0.8393216270044167"/>
          <c:y val="0.10707613101616736"/>
          <c:w val="0.14403946259964256"/>
          <c:h val="0.73977620401000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[Assignment_5.xlsx]Customer Orders!PivotTable31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Delays by Customer</a:t>
            </a:r>
          </a:p>
        </c:rich>
      </c:tx>
      <c:layout>
        <c:manualLayout>
          <c:xMode val="edge"/>
          <c:yMode val="edge"/>
          <c:x val="0.29339622641509433"/>
          <c:y val="3.4867503486750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Orders'!$K$33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Orders'!$J$34:$J$37</c:f>
              <c:strCache>
                <c:ptCount val="4"/>
                <c:pt idx="0">
                  <c:v>Flipkart</c:v>
                </c:pt>
                <c:pt idx="1">
                  <c:v>HUL</c:v>
                </c:pt>
                <c:pt idx="2">
                  <c:v>Reliance</c:v>
                </c:pt>
                <c:pt idx="3">
                  <c:v>Tata</c:v>
                </c:pt>
              </c:strCache>
            </c:strRef>
          </c:cat>
          <c:val>
            <c:numRef>
              <c:f>'Customer Orders'!$K$34:$K$37</c:f>
              <c:numCache>
                <c:formatCode>0</c:formatCode>
                <c:ptCount val="4"/>
                <c:pt idx="0">
                  <c:v>3</c:v>
                </c:pt>
                <c:pt idx="1">
                  <c:v>6</c:v>
                </c:pt>
                <c:pt idx="2">
                  <c:v>1</c:v>
                </c:pt>
                <c:pt idx="3">
                  <c:v>3</c:v>
                </c:pt>
              </c:numCache>
            </c:numRef>
          </c:val>
          <c:extLst>
            <c:ext xmlns:c16="http://schemas.microsoft.com/office/drawing/2014/chart" uri="{C3380CC4-5D6E-409C-BE32-E72D297353CC}">
              <c16:uniqueId val="{00000000-D01E-49B6-BA58-7B118EBCFDBD}"/>
            </c:ext>
          </c:extLst>
        </c:ser>
        <c:dLbls>
          <c:showLegendKey val="0"/>
          <c:showVal val="0"/>
          <c:showCatName val="0"/>
          <c:showSerName val="0"/>
          <c:showPercent val="0"/>
          <c:showBubbleSize val="0"/>
        </c:dLbls>
        <c:gapWidth val="182"/>
        <c:axId val="604673496"/>
        <c:axId val="604674552"/>
      </c:barChart>
      <c:catAx>
        <c:axId val="604673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74552"/>
        <c:crosses val="autoZero"/>
        <c:auto val="1"/>
        <c:lblAlgn val="ctr"/>
        <c:lblOffset val="100"/>
        <c:noMultiLvlLbl val="0"/>
      </c:catAx>
      <c:valAx>
        <c:axId val="604674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673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13</xdr:col>
      <xdr:colOff>15240</xdr:colOff>
      <xdr:row>1</xdr:row>
      <xdr:rowOff>15240</xdr:rowOff>
    </xdr:from>
    <xdr:to>
      <xdr:col>18</xdr:col>
      <xdr:colOff>7620</xdr:colOff>
      <xdr:row>13</xdr:row>
      <xdr:rowOff>0</xdr:rowOff>
    </xdr:to>
    <xdr:graphicFrame macro="">
      <xdr:nvGraphicFramePr>
        <xdr:cNvPr id="2" name="Chart 1">
          <a:extLst>
            <a:ext uri="{FF2B5EF4-FFF2-40B4-BE49-F238E27FC236}">
              <a16:creationId xmlns:a16="http://schemas.microsoft.com/office/drawing/2014/main" id="{FADF91C5-4886-92CC-EE17-093463B9D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xdr:colOff>
      <xdr:row>14</xdr:row>
      <xdr:rowOff>175260</xdr:rowOff>
    </xdr:from>
    <xdr:to>
      <xdr:col>18</xdr:col>
      <xdr:colOff>22860</xdr:colOff>
      <xdr:row>28</xdr:row>
      <xdr:rowOff>167640</xdr:rowOff>
    </xdr:to>
    <xdr:graphicFrame macro="">
      <xdr:nvGraphicFramePr>
        <xdr:cNvPr id="3" name="Chart 2">
          <a:extLst>
            <a:ext uri="{FF2B5EF4-FFF2-40B4-BE49-F238E27FC236}">
              <a16:creationId xmlns:a16="http://schemas.microsoft.com/office/drawing/2014/main" id="{B95D2805-1282-5F8B-C55A-503F6C5E0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15240</xdr:colOff>
      <xdr:row>31</xdr:row>
      <xdr:rowOff>30481</xdr:rowOff>
    </xdr:from>
    <xdr:to>
      <xdr:col>13</xdr:col>
      <xdr:colOff>1219201</xdr:colOff>
      <xdr:row>42</xdr:row>
      <xdr:rowOff>15240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8D5B2DF-2118-ADF2-18AB-5070FDD07F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13520" y="5699761"/>
              <a:ext cx="1767841"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31</xdr:row>
      <xdr:rowOff>22860</xdr:rowOff>
    </xdr:from>
    <xdr:to>
      <xdr:col>18</xdr:col>
      <xdr:colOff>15240</xdr:colOff>
      <xdr:row>42</xdr:row>
      <xdr:rowOff>7620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6A6FB860-78E0-F948-3596-85A4D41A1AA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77600" y="5692140"/>
              <a:ext cx="198882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30480</xdr:colOff>
      <xdr:row>4</xdr:row>
      <xdr:rowOff>15240</xdr:rowOff>
    </xdr:from>
    <xdr:to>
      <xdr:col>17</xdr:col>
      <xdr:colOff>7620</xdr:colOff>
      <xdr:row>14</xdr:row>
      <xdr:rowOff>160020</xdr:rowOff>
    </xdr:to>
    <xdr:graphicFrame macro="">
      <xdr:nvGraphicFramePr>
        <xdr:cNvPr id="4" name="Chart 3">
          <a:extLst>
            <a:ext uri="{FF2B5EF4-FFF2-40B4-BE49-F238E27FC236}">
              <a16:creationId xmlns:a16="http://schemas.microsoft.com/office/drawing/2014/main" id="{6EA84148-FD28-0204-7136-149DBCA21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xdr:colOff>
      <xdr:row>24</xdr:row>
      <xdr:rowOff>76200</xdr:rowOff>
    </xdr:from>
    <xdr:to>
      <xdr:col>17</xdr:col>
      <xdr:colOff>38100</xdr:colOff>
      <xdr:row>36</xdr:row>
      <xdr:rowOff>45720</xdr:rowOff>
    </xdr:to>
    <xdr:graphicFrame macro="">
      <xdr:nvGraphicFramePr>
        <xdr:cNvPr id="5" name="Chart 4">
          <a:extLst>
            <a:ext uri="{FF2B5EF4-FFF2-40B4-BE49-F238E27FC236}">
              <a16:creationId xmlns:a16="http://schemas.microsoft.com/office/drawing/2014/main" id="{3AF638F4-187A-35D3-744F-1CB5115F2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13</xdr:col>
      <xdr:colOff>38100</xdr:colOff>
      <xdr:row>40</xdr:row>
      <xdr:rowOff>175260</xdr:rowOff>
    </xdr:from>
    <xdr:ext cx="1264920" cy="723900"/>
    <xdr:sp macro="" textlink="">
      <xdr:nvSpPr>
        <xdr:cNvPr id="6" name="TextBox 5">
          <a:extLst>
            <a:ext uri="{FF2B5EF4-FFF2-40B4-BE49-F238E27FC236}">
              <a16:creationId xmlns:a16="http://schemas.microsoft.com/office/drawing/2014/main" id="{7CB86DDC-5CE0-E312-D7DE-B46E68324821}"/>
            </a:ext>
          </a:extLst>
        </xdr:cNvPr>
        <xdr:cNvSpPr txBox="1"/>
      </xdr:nvSpPr>
      <xdr:spPr>
        <a:xfrm rot="10800000" flipV="1">
          <a:off x="10690860" y="7490460"/>
          <a:ext cx="1264920" cy="7239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r>
            <a:rPr lang="en-IN" sz="1800"/>
            <a:t> </a:t>
          </a:r>
          <a:r>
            <a:rPr lang="en-IN" sz="1600" b="1" cap="none" spc="0">
              <a:ln w="0"/>
              <a:solidFill>
                <a:schemeClr val="tx1">
                  <a:lumMod val="95000"/>
                  <a:lumOff val="5000"/>
                </a:schemeClr>
              </a:solidFill>
              <a:effectLst/>
            </a:rPr>
            <a:t>Headcount</a:t>
          </a:r>
        </a:p>
        <a:p>
          <a:r>
            <a:rPr lang="en-IN" sz="1600" baseline="0"/>
            <a:t>          </a:t>
          </a:r>
          <a:r>
            <a:rPr lang="en-IN" sz="1600" b="1"/>
            <a:t>30</a:t>
          </a:r>
          <a:endParaRPr lang="en-IN" sz="1050" b="1"/>
        </a:p>
      </xdr:txBody>
    </xdr:sp>
    <xdr:clientData/>
  </xdr:oneCellAnchor>
  <xdr:oneCellAnchor>
    <xdr:from>
      <xdr:col>14</xdr:col>
      <xdr:colOff>15240</xdr:colOff>
      <xdr:row>41</xdr:row>
      <xdr:rowOff>0</xdr:rowOff>
    </xdr:from>
    <xdr:ext cx="1386840" cy="701040"/>
    <xdr:sp macro="" textlink="">
      <xdr:nvSpPr>
        <xdr:cNvPr id="7" name="TextBox 6">
          <a:extLst>
            <a:ext uri="{FF2B5EF4-FFF2-40B4-BE49-F238E27FC236}">
              <a16:creationId xmlns:a16="http://schemas.microsoft.com/office/drawing/2014/main" id="{C5B7632E-547B-4867-9F60-8E2E58EDA8A2}"/>
            </a:ext>
          </a:extLst>
        </xdr:cNvPr>
        <xdr:cNvSpPr txBox="1"/>
      </xdr:nvSpPr>
      <xdr:spPr>
        <a:xfrm rot="10800000" flipV="1">
          <a:off x="12009120" y="7498080"/>
          <a:ext cx="1386840" cy="7010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pPr algn="ctr"/>
          <a:r>
            <a:rPr lang="en-IN" sz="1800" b="1"/>
            <a:t>Ave</a:t>
          </a:r>
          <a:r>
            <a:rPr lang="en-IN" sz="1800" b="1" baseline="0"/>
            <a:t> Age</a:t>
          </a:r>
        </a:p>
        <a:p>
          <a:pPr algn="ctr"/>
          <a:r>
            <a:rPr lang="en-IN" sz="1400" b="1" cap="none" spc="0" baseline="0">
              <a:ln w="0"/>
              <a:solidFill>
                <a:schemeClr val="tx1">
                  <a:lumMod val="95000"/>
                  <a:lumOff val="5000"/>
                </a:schemeClr>
              </a:solidFill>
              <a:effectLst/>
            </a:rPr>
            <a:t>36.13</a:t>
          </a:r>
          <a:endParaRPr lang="en-IN" sz="1400" b="1" cap="none" spc="0">
            <a:ln w="0"/>
            <a:solidFill>
              <a:schemeClr val="tx1">
                <a:lumMod val="95000"/>
                <a:lumOff val="5000"/>
              </a:schemeClr>
            </a:solidFill>
            <a:effectLst/>
          </a:endParaRPr>
        </a:p>
        <a:p>
          <a:pPr algn="ctr"/>
          <a:r>
            <a:rPr lang="en-IN" sz="2400" b="1">
              <a:effectLst/>
            </a:rPr>
            <a:t> </a:t>
          </a:r>
          <a:endParaRPr lang="en-IN" sz="1600" b="1"/>
        </a:p>
      </xdr:txBody>
    </xdr:sp>
    <xdr:clientData/>
  </xdr:oneCellAnchor>
  <xdr:oneCellAnchor>
    <xdr:from>
      <xdr:col>15</xdr:col>
      <xdr:colOff>121920</xdr:colOff>
      <xdr:row>40</xdr:row>
      <xdr:rowOff>175260</xdr:rowOff>
    </xdr:from>
    <xdr:ext cx="1386840" cy="701040"/>
    <xdr:sp macro="" textlink="">
      <xdr:nvSpPr>
        <xdr:cNvPr id="8" name="TextBox 7">
          <a:extLst>
            <a:ext uri="{FF2B5EF4-FFF2-40B4-BE49-F238E27FC236}">
              <a16:creationId xmlns:a16="http://schemas.microsoft.com/office/drawing/2014/main" id="{F429F199-AF8B-4AC2-9223-EC7766EFC919}"/>
            </a:ext>
          </a:extLst>
        </xdr:cNvPr>
        <xdr:cNvSpPr txBox="1"/>
      </xdr:nvSpPr>
      <xdr:spPr>
        <a:xfrm rot="10800000" flipV="1">
          <a:off x="13456920" y="7490460"/>
          <a:ext cx="1386840" cy="7010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pPr algn="ctr"/>
          <a:r>
            <a:rPr lang="en-IN" sz="1400"/>
            <a:t> </a:t>
          </a:r>
          <a:r>
            <a:rPr lang="en-IN" sz="1800" b="1" cap="none" spc="0">
              <a:ln w="0"/>
              <a:solidFill>
                <a:schemeClr val="tx1">
                  <a:lumMod val="95000"/>
                  <a:lumOff val="5000"/>
                </a:schemeClr>
              </a:solidFill>
              <a:effectLst/>
            </a:rPr>
            <a:t>Avg Salary</a:t>
          </a:r>
          <a:endParaRPr lang="en-IN" sz="1400" b="1" cap="none" spc="0">
            <a:ln w="0"/>
            <a:solidFill>
              <a:schemeClr val="tx1">
                <a:lumMod val="95000"/>
                <a:lumOff val="5000"/>
              </a:schemeClr>
            </a:solidFill>
            <a:effectLst/>
          </a:endParaRPr>
        </a:p>
        <a:p>
          <a:pPr algn="ctr"/>
          <a:r>
            <a:rPr lang="en-IN" sz="1400" b="1" i="0" u="none" strike="noStrike">
              <a:solidFill>
                <a:schemeClr val="dk1"/>
              </a:solidFill>
              <a:effectLst/>
              <a:latin typeface="+mn-lt"/>
              <a:ea typeface="+mn-ea"/>
              <a:cs typeface="+mn-cs"/>
            </a:rPr>
            <a:t>66992.53</a:t>
          </a:r>
          <a:r>
            <a:rPr lang="en-IN" sz="1400" b="1">
              <a:effectLst/>
            </a:rPr>
            <a:t> </a:t>
          </a:r>
          <a:r>
            <a:rPr lang="en-IN" sz="1400" b="1">
              <a:solidFill>
                <a:schemeClr val="tx1">
                  <a:lumMod val="95000"/>
                  <a:lumOff val="5000"/>
                </a:schemeClr>
              </a:solidFill>
              <a:effectLst/>
            </a:rPr>
            <a:t> </a:t>
          </a:r>
          <a:endParaRPr lang="en-IN" sz="1400" b="1">
            <a:solidFill>
              <a:schemeClr val="tx1">
                <a:lumMod val="95000"/>
                <a:lumOff val="5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13</xdr:col>
      <xdr:colOff>22860</xdr:colOff>
      <xdr:row>5</xdr:row>
      <xdr:rowOff>68580</xdr:rowOff>
    </xdr:from>
    <xdr:to>
      <xdr:col>17</xdr:col>
      <xdr:colOff>38100</xdr:colOff>
      <xdr:row>18</xdr:row>
      <xdr:rowOff>167640</xdr:rowOff>
    </xdr:to>
    <xdr:graphicFrame macro="">
      <xdr:nvGraphicFramePr>
        <xdr:cNvPr id="2" name="Chart 1">
          <a:extLst>
            <a:ext uri="{FF2B5EF4-FFF2-40B4-BE49-F238E27FC236}">
              <a16:creationId xmlns:a16="http://schemas.microsoft.com/office/drawing/2014/main" id="{EFF36484-0C69-27EA-F8E7-20AF00140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xdr:colOff>
      <xdr:row>21</xdr:row>
      <xdr:rowOff>7620</xdr:rowOff>
    </xdr:from>
    <xdr:to>
      <xdr:col>16</xdr:col>
      <xdr:colOff>601980</xdr:colOff>
      <xdr:row>38</xdr:row>
      <xdr:rowOff>0</xdr:rowOff>
    </xdr:to>
    <xdr:graphicFrame macro="">
      <xdr:nvGraphicFramePr>
        <xdr:cNvPr id="3" name="Chart 2">
          <a:extLst>
            <a:ext uri="{FF2B5EF4-FFF2-40B4-BE49-F238E27FC236}">
              <a16:creationId xmlns:a16="http://schemas.microsoft.com/office/drawing/2014/main" id="{43F428B2-AAD6-0A3F-019D-7552F63EA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1280160</xdr:colOff>
      <xdr:row>6</xdr:row>
      <xdr:rowOff>38101</xdr:rowOff>
    </xdr:from>
    <xdr:to>
      <xdr:col>12</xdr:col>
      <xdr:colOff>22860</xdr:colOff>
      <xdr:row>12</xdr:row>
      <xdr:rowOff>38100</xdr:rowOff>
    </xdr:to>
    <mc:AlternateContent xmlns:mc="http://schemas.openxmlformats.org/markup-compatibility/2006" xmlns:a14="http://schemas.microsoft.com/office/drawing/2010/main">
      <mc:Choice Requires="a14">
        <xdr:graphicFrame macro="">
          <xdr:nvGraphicFramePr>
            <xdr:cNvPr id="4" name="Warehouse">
              <a:extLst>
                <a:ext uri="{FF2B5EF4-FFF2-40B4-BE49-F238E27FC236}">
                  <a16:creationId xmlns:a16="http://schemas.microsoft.com/office/drawing/2014/main" id="{4F572E84-2C0E-3E08-B46C-F5C018F5D3B1}"/>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7757160" y="1148444"/>
              <a:ext cx="1692729" cy="1110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7620</xdr:colOff>
      <xdr:row>3</xdr:row>
      <xdr:rowOff>167640</xdr:rowOff>
    </xdr:from>
    <xdr:to>
      <xdr:col>17</xdr:col>
      <xdr:colOff>0</xdr:colOff>
      <xdr:row>15</xdr:row>
      <xdr:rowOff>22860</xdr:rowOff>
    </xdr:to>
    <xdr:graphicFrame macro="">
      <xdr:nvGraphicFramePr>
        <xdr:cNvPr id="2" name="Chart 1">
          <a:extLst>
            <a:ext uri="{FF2B5EF4-FFF2-40B4-BE49-F238E27FC236}">
              <a16:creationId xmlns:a16="http://schemas.microsoft.com/office/drawing/2014/main" id="{147EB0A6-6270-C131-0EBC-1B57CE1BA0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18</xdr:row>
      <xdr:rowOff>38100</xdr:rowOff>
    </xdr:from>
    <xdr:to>
      <xdr:col>15</xdr:col>
      <xdr:colOff>579120</xdr:colOff>
      <xdr:row>26</xdr:row>
      <xdr:rowOff>15240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5CD04021-BF71-3DCA-1736-9CB3DD176D3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785860" y="3329940"/>
              <a:ext cx="3627120" cy="14401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12</xdr:col>
      <xdr:colOff>60960</xdr:colOff>
      <xdr:row>29</xdr:row>
      <xdr:rowOff>175260</xdr:rowOff>
    </xdr:from>
    <xdr:ext cx="1158240" cy="922020"/>
    <xdr:sp macro="" textlink="">
      <xdr:nvSpPr>
        <xdr:cNvPr id="5" name="TextBox 4">
          <a:extLst>
            <a:ext uri="{FF2B5EF4-FFF2-40B4-BE49-F238E27FC236}">
              <a16:creationId xmlns:a16="http://schemas.microsoft.com/office/drawing/2014/main" id="{9950850E-5E6E-4567-A940-BC359DB7E7F0}"/>
            </a:ext>
          </a:extLst>
        </xdr:cNvPr>
        <xdr:cNvSpPr txBox="1"/>
      </xdr:nvSpPr>
      <xdr:spPr>
        <a:xfrm rot="10800000" flipV="1">
          <a:off x="8846820" y="5478780"/>
          <a:ext cx="1158240" cy="9220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pPr algn="ctr"/>
          <a:r>
            <a:rPr lang="en-IN" sz="1800"/>
            <a:t> </a:t>
          </a:r>
          <a:r>
            <a:rPr lang="en-IN" sz="1600" b="1" cap="none" spc="0">
              <a:ln w="0"/>
              <a:solidFill>
                <a:schemeClr val="tx1">
                  <a:lumMod val="95000"/>
                  <a:lumOff val="5000"/>
                </a:schemeClr>
              </a:solidFill>
              <a:effectLst/>
            </a:rPr>
            <a:t>Total Budget</a:t>
          </a:r>
        </a:p>
        <a:p>
          <a:pPr algn="ctr"/>
          <a:r>
            <a:rPr lang="en-IN" sz="1600" b="1" i="0" u="none" strike="noStrike">
              <a:solidFill>
                <a:schemeClr val="dk1"/>
              </a:solidFill>
              <a:effectLst/>
              <a:latin typeface="+mn-lt"/>
              <a:ea typeface="+mn-ea"/>
              <a:cs typeface="+mn-cs"/>
            </a:rPr>
            <a:t>291137</a:t>
          </a:r>
          <a:endParaRPr lang="en-IN" sz="1400" b="1"/>
        </a:p>
      </xdr:txBody>
    </xdr:sp>
    <xdr:clientData/>
  </xdr:oneCellAnchor>
  <xdr:oneCellAnchor>
    <xdr:from>
      <xdr:col>12</xdr:col>
      <xdr:colOff>1264920</xdr:colOff>
      <xdr:row>30</xdr:row>
      <xdr:rowOff>0</xdr:rowOff>
    </xdr:from>
    <xdr:ext cx="1120140" cy="922020"/>
    <xdr:sp macro="" textlink="">
      <xdr:nvSpPr>
        <xdr:cNvPr id="6" name="TextBox 5">
          <a:extLst>
            <a:ext uri="{FF2B5EF4-FFF2-40B4-BE49-F238E27FC236}">
              <a16:creationId xmlns:a16="http://schemas.microsoft.com/office/drawing/2014/main" id="{954384FE-F376-413B-B161-AF0BAE5D1D2C}"/>
            </a:ext>
          </a:extLst>
        </xdr:cNvPr>
        <xdr:cNvSpPr txBox="1"/>
      </xdr:nvSpPr>
      <xdr:spPr>
        <a:xfrm rot="10800000" flipV="1">
          <a:off x="10050780" y="5486400"/>
          <a:ext cx="1120140" cy="92202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pPr algn="ctr"/>
          <a:r>
            <a:rPr lang="en-IN" sz="1800"/>
            <a:t> </a:t>
          </a:r>
          <a:r>
            <a:rPr lang="en-IN" sz="1600" b="1"/>
            <a:t>Total Expense</a:t>
          </a:r>
        </a:p>
        <a:p>
          <a:pPr algn="ctr"/>
          <a:r>
            <a:rPr lang="en-IN" sz="1800" b="1"/>
            <a:t>154861 </a:t>
          </a:r>
          <a:endParaRPr lang="en-IN" sz="1200" b="1"/>
        </a:p>
      </xdr:txBody>
    </xdr:sp>
    <xdr:clientData/>
  </xdr:oneCellAnchor>
  <xdr:oneCellAnchor>
    <xdr:from>
      <xdr:col>14</xdr:col>
      <xdr:colOff>30480</xdr:colOff>
      <xdr:row>30</xdr:row>
      <xdr:rowOff>7620</xdr:rowOff>
    </xdr:from>
    <xdr:ext cx="1173480" cy="914400"/>
    <xdr:sp macro="" textlink="">
      <xdr:nvSpPr>
        <xdr:cNvPr id="7" name="TextBox 6">
          <a:extLst>
            <a:ext uri="{FF2B5EF4-FFF2-40B4-BE49-F238E27FC236}">
              <a16:creationId xmlns:a16="http://schemas.microsoft.com/office/drawing/2014/main" id="{A88254C5-6817-4B26-AC29-B84BC50AAF60}"/>
            </a:ext>
          </a:extLst>
        </xdr:cNvPr>
        <xdr:cNvSpPr txBox="1"/>
      </xdr:nvSpPr>
      <xdr:spPr>
        <a:xfrm rot="10800000" flipV="1">
          <a:off x="11254740" y="5494020"/>
          <a:ext cx="1173480" cy="9144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wrap="square" rtlCol="0" anchor="t">
          <a:noAutofit/>
        </a:bodyPr>
        <a:lstStyle/>
        <a:p>
          <a:pPr algn="ctr"/>
          <a:r>
            <a:rPr lang="en-IN" sz="2000"/>
            <a:t> </a:t>
          </a:r>
          <a:r>
            <a:rPr lang="en-IN" sz="1800" b="1">
              <a:solidFill>
                <a:schemeClr val="dk1"/>
              </a:solidFill>
              <a:effectLst/>
              <a:latin typeface="+mn-lt"/>
              <a:ea typeface="+mn-ea"/>
              <a:cs typeface="+mn-cs"/>
            </a:rPr>
            <a:t>Overr</a:t>
          </a:r>
          <a:r>
            <a:rPr lang="en-IN" sz="1600" b="1">
              <a:solidFill>
                <a:schemeClr val="dk1"/>
              </a:solidFill>
              <a:effectLst/>
              <a:latin typeface="+mn-lt"/>
              <a:ea typeface="+mn-ea"/>
              <a:cs typeface="+mn-cs"/>
            </a:rPr>
            <a:t>u</a:t>
          </a:r>
          <a:r>
            <a:rPr lang="en-IN" sz="1800" b="1">
              <a:solidFill>
                <a:schemeClr val="dk1"/>
              </a:solidFill>
              <a:effectLst/>
              <a:latin typeface="+mn-lt"/>
              <a:ea typeface="+mn-ea"/>
              <a:cs typeface="+mn-cs"/>
            </a:rPr>
            <a:t>n %</a:t>
          </a:r>
        </a:p>
        <a:p>
          <a:pPr algn="ctr"/>
          <a:r>
            <a:rPr lang="en-IN" sz="1400" b="1">
              <a:solidFill>
                <a:schemeClr val="dk1"/>
              </a:solidFill>
              <a:effectLst/>
              <a:latin typeface="+mn-lt"/>
              <a:ea typeface="+mn-ea"/>
              <a:cs typeface="+mn-cs"/>
            </a:rPr>
            <a:t>  46.81</a:t>
          </a:r>
          <a:endParaRPr lang="en-IN" sz="1050" b="1"/>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13</xdr:col>
      <xdr:colOff>15240</xdr:colOff>
      <xdr:row>1</xdr:row>
      <xdr:rowOff>7620</xdr:rowOff>
    </xdr:from>
    <xdr:to>
      <xdr:col>17</xdr:col>
      <xdr:colOff>7620</xdr:colOff>
      <xdr:row>13</xdr:row>
      <xdr:rowOff>15240</xdr:rowOff>
    </xdr:to>
    <xdr:graphicFrame macro="">
      <xdr:nvGraphicFramePr>
        <xdr:cNvPr id="2" name="Chart 1">
          <a:extLst>
            <a:ext uri="{FF2B5EF4-FFF2-40B4-BE49-F238E27FC236}">
              <a16:creationId xmlns:a16="http://schemas.microsoft.com/office/drawing/2014/main" id="{F60939AE-D675-A154-A311-4B8850BCC2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22860</xdr:colOff>
      <xdr:row>15</xdr:row>
      <xdr:rowOff>15240</xdr:rowOff>
    </xdr:from>
    <xdr:to>
      <xdr:col>17</xdr:col>
      <xdr:colOff>7620</xdr:colOff>
      <xdr:row>25</xdr:row>
      <xdr:rowOff>7620</xdr:rowOff>
    </xdr:to>
    <xdr:graphicFrame macro="">
      <xdr:nvGraphicFramePr>
        <xdr:cNvPr id="3" name="Chart 2">
          <a:extLst>
            <a:ext uri="{FF2B5EF4-FFF2-40B4-BE49-F238E27FC236}">
              <a16:creationId xmlns:a16="http://schemas.microsoft.com/office/drawing/2014/main" id="{DE12AF12-B375-76A2-A35C-C41E8E28C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30480</xdr:colOff>
      <xdr:row>29</xdr:row>
      <xdr:rowOff>0</xdr:rowOff>
    </xdr:from>
    <xdr:to>
      <xdr:col>17</xdr:col>
      <xdr:colOff>0</xdr:colOff>
      <xdr:row>36</xdr:row>
      <xdr:rowOff>167641</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EDF6F3D8-8123-25F6-C301-7144D906FF3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414760" y="5303520"/>
              <a:ext cx="1889760" cy="1447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29</xdr:row>
      <xdr:rowOff>0</xdr:rowOff>
    </xdr:from>
    <xdr:to>
      <xdr:col>14</xdr:col>
      <xdr:colOff>1043940</xdr:colOff>
      <xdr:row>36</xdr:row>
      <xdr:rowOff>175260</xdr:rowOff>
    </xdr:to>
    <mc:AlternateContent xmlns:mc="http://schemas.openxmlformats.org/markup-compatibility/2006" xmlns:a14="http://schemas.microsoft.com/office/drawing/2010/main">
      <mc:Choice Requires="a14">
        <xdr:graphicFrame macro="">
          <xdr:nvGraphicFramePr>
            <xdr:cNvPr id="5" name="Delivery Status">
              <a:extLst>
                <a:ext uri="{FF2B5EF4-FFF2-40B4-BE49-F238E27FC236}">
                  <a16:creationId xmlns:a16="http://schemas.microsoft.com/office/drawing/2014/main" id="{2BF9E972-C944-3A52-2591-FFA145E8318C}"/>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9265920" y="5303520"/>
              <a:ext cx="20955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44805555552" createdVersion="8" refreshedVersion="8" minRefreshableVersion="3" recordCount="30" xr:uid="{6EC98444-11A2-4997-9A3E-9EF25DA9B87E}">
  <cacheSource type="worksheet">
    <worksheetSource ref="A1:I31" sheet="Sales Analysis"/>
  </cacheSource>
  <cacheFields count="11">
    <cacheField name="Date" numFmtId="164">
      <sharedItems containsSemiMixedTypes="0" containsNonDate="0" containsDate="1" containsString="0" minDate="2023-01-26T00:00:00" maxDate="2023-12-23T00:00:00" count="27">
        <d v="2023-04-03T00:00:00"/>
        <d v="2023-07-02T00:00:00"/>
        <d v="2023-12-07T00:00:00"/>
        <d v="2023-03-13T00:00:00"/>
        <d v="2023-08-11T00:00:00"/>
        <d v="2023-11-19T00:00:00"/>
        <d v="2023-04-08T00:00:00"/>
        <d v="2023-03-23T00:00:00"/>
        <d v="2023-08-01T00:00:00"/>
        <d v="2023-06-29T00:00:00"/>
        <d v="2023-02-12T00:00:00"/>
        <d v="2023-08-17T00:00:00"/>
        <d v="2023-07-09T00:00:00"/>
        <d v="2023-01-28T00:00:00"/>
        <d v="2023-02-15T00:00:00"/>
        <d v="2023-05-03T00:00:00"/>
        <d v="2023-10-03T00:00:00"/>
        <d v="2023-09-01T00:00:00"/>
        <d v="2023-04-01T00:00:00"/>
        <d v="2023-09-08T00:00:00"/>
        <d v="2023-04-30T00:00:00"/>
        <d v="2023-01-26T00:00:00"/>
        <d v="2023-02-06T00:00:00"/>
        <d v="2023-09-09T00:00:00"/>
        <d v="2023-02-13T00:00:00"/>
        <d v="2023-12-22T00:00:00"/>
        <d v="2023-11-17T00:00:00"/>
      </sharedItems>
      <fieldGroup par="10"/>
    </cacheField>
    <cacheField name="Region" numFmtId="0">
      <sharedItems count="4">
        <s v="West"/>
        <s v="South"/>
        <s v="North"/>
        <s v="East"/>
      </sharedItems>
    </cacheField>
    <cacheField name="Salesperson" numFmtId="0">
      <sharedItems count="5">
        <s v="Bob"/>
        <s v="Alice"/>
        <s v="Eva"/>
        <s v="David"/>
        <s v="Charlie"/>
      </sharedItems>
    </cacheField>
    <cacheField name="Product" numFmtId="0">
      <sharedItems count="5">
        <s v="Tablet"/>
        <s v="Phone"/>
        <s v="Keyboard"/>
        <s v="Laptop"/>
        <s v="Monitor"/>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64" maxValue="995"/>
    </cacheField>
    <cacheField name="Revenue" numFmtId="0">
      <sharedItems containsSemiMixedTypes="0" containsString="0" containsNumber="1" containsInteger="1" minValue="970" maxValue="19500" count="30">
        <n v="9708"/>
        <n v="4180"/>
        <n v="6336"/>
        <n v="7610"/>
        <n v="4320"/>
        <n v="19500"/>
        <n v="10906"/>
        <n v="10829"/>
        <n v="16663"/>
        <n v="3474"/>
        <n v="3780"/>
        <n v="2184"/>
        <n v="10820"/>
        <n v="11320"/>
        <n v="995"/>
        <n v="17540"/>
        <n v="2180"/>
        <n v="970"/>
        <n v="2670"/>
        <n v="5406"/>
        <n v="1148"/>
        <n v="9872"/>
        <n v="3653"/>
        <n v="11635"/>
        <n v="4570"/>
        <n v="7560"/>
        <n v="7857"/>
        <n v="14076"/>
        <n v="8240"/>
        <n v="1836"/>
      </sharedItems>
    </cacheField>
    <cacheField name="Profit" numFmtId="0">
      <sharedItems containsSemiMixedTypes="0" containsString="0" containsNumber="1" minValue="194" maxValue="3900"/>
    </cacheField>
    <cacheField name="Exercise 1: Sales Analysis" numFmtId="0">
      <sharedItems containsNonDate="0" containsString="0" containsBlank="1"/>
    </cacheField>
    <cacheField name="Days (Date)" numFmtId="0" databaseField="0">
      <fieldGroup base="0">
        <rangePr groupBy="days" startDate="2023-01-26T00:00:00" endDate="2023-12-23T00:00:00"/>
        <groupItems count="368">
          <s v="&lt;26-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023"/>
        </groupItems>
      </fieldGroup>
    </cacheField>
    <cacheField name="Months (Date)" numFmtId="0" databaseField="0">
      <fieldGroup base="0">
        <rangePr groupBy="months" startDate="2023-01-26T00:00:00" endDate="2023-12-23T00:00:00"/>
        <groupItems count="14">
          <s v="&lt;26-01-2023"/>
          <s v="Jan"/>
          <s v="Feb"/>
          <s v="Mar"/>
          <s v="Apr"/>
          <s v="May"/>
          <s v="Jun"/>
          <s v="Jul"/>
          <s v="Aug"/>
          <s v="Sep"/>
          <s v="Oct"/>
          <s v="Nov"/>
          <s v="Dec"/>
          <s v="&gt;23-12-2023"/>
        </groupItems>
      </fieldGroup>
    </cacheField>
  </cacheFields>
  <extLst>
    <ext xmlns:x14="http://schemas.microsoft.com/office/spreadsheetml/2009/9/main" uri="{725AE2AE-9491-48be-B2B4-4EB974FC3084}">
      <x14:pivotCacheDefinition pivotCacheId="11379574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680627893518" createdVersion="8" refreshedVersion="8" minRefreshableVersion="3" recordCount="30" xr:uid="{6B2D63C8-8086-4EB9-96CF-8A93A7A9EEE9}">
  <cacheSource type="worksheet">
    <worksheetSource ref="A1:H31" sheet="HR Attrition"/>
  </cacheSource>
  <cacheFields count="11">
    <cacheField name="Employee ID" numFmtId="0">
      <sharedItems/>
    </cacheField>
    <cacheField name="Department" numFmtId="0">
      <sharedItems count="5">
        <s v="HR"/>
        <s v="IT"/>
        <s v="Finance"/>
        <s v="Sales"/>
        <s v="Support"/>
      </sharedItems>
    </cacheField>
    <cacheField name="Gender" numFmtId="0">
      <sharedItems count="2">
        <s v="Female"/>
        <s v="Male"/>
      </sharedItems>
    </cacheField>
    <cacheField name="Age" numFmtId="0">
      <sharedItems containsSemiMixedTypes="0" containsString="0" containsNumber="1" containsInteger="1" minValue="22" maxValue="49"/>
    </cacheField>
    <cacheField name="Join Date" numFmtId="164">
      <sharedItems containsSemiMixedTypes="0" containsNonDate="0" containsDate="1" containsString="0" minDate="2020-01-22T00:00:00" maxDate="2023-12-20T00:00:00"/>
    </cacheField>
    <cacheField name="Exit Date" numFmtId="0">
      <sharedItems containsNonDate="0" containsDate="1" containsString="0" containsBlank="1" minDate="2021-05-02T00:00:00" maxDate="2026-02-02T00:00:00" count="21">
        <d v="2024-05-30T00:00:00"/>
        <d v="2024-11-29T00:00:00"/>
        <m/>
        <d v="2023-09-07T00:00:00"/>
        <d v="2024-11-18T00:00:00"/>
        <d v="2025-01-11T00:00:00"/>
        <d v="2023-04-26T00:00:00"/>
        <d v="2021-11-20T00:00:00"/>
        <d v="2025-08-18T00:00:00"/>
        <d v="2024-07-18T00:00:00"/>
        <d v="2021-05-02T00:00:00"/>
        <d v="2021-10-08T00:00:00"/>
        <d v="2023-01-23T00:00:00"/>
        <d v="2022-01-02T00:00:00"/>
        <d v="2021-12-15T00:00:00"/>
        <d v="2023-12-04T00:00:00"/>
        <d v="2024-06-06T00:00:00"/>
        <d v="2024-03-15T00:00:00"/>
        <d v="2025-03-02T00:00:00"/>
        <d v="2023-12-29T00:00:00"/>
        <d v="2026-02-01T00:00:00"/>
      </sharedItems>
      <fieldGroup par="10"/>
    </cacheField>
    <cacheField name="Status" numFmtId="0">
      <sharedItems count="2">
        <s v="Resigned"/>
        <s v="Active"/>
      </sharedItems>
    </cacheField>
    <cacheField name="Salary" numFmtId="0">
      <sharedItems containsSemiMixedTypes="0" containsString="0" containsNumber="1" containsInteger="1" minValue="30083" maxValue="107731"/>
    </cacheField>
    <cacheField name="Months (Exit Date)" numFmtId="0" databaseField="0">
      <fieldGroup base="5">
        <rangePr groupBy="months" startDate="2021-05-02T00:00:00" endDate="2026-02-02T00:00:00"/>
        <groupItems count="14">
          <s v="&lt;02-05-2021"/>
          <s v="Jan"/>
          <s v="Feb"/>
          <s v="Mar"/>
          <s v="Apr"/>
          <s v="May"/>
          <s v="Jun"/>
          <s v="Jul"/>
          <s v="Aug"/>
          <s v="Sep"/>
          <s v="Oct"/>
          <s v="Nov"/>
          <s v="Dec"/>
          <s v="&gt;02-02-2026"/>
        </groupItems>
      </fieldGroup>
    </cacheField>
    <cacheField name="Quarters (Exit Date)" numFmtId="0" databaseField="0">
      <fieldGroup base="5">
        <rangePr groupBy="quarters" startDate="2021-05-02T00:00:00" endDate="2026-02-02T00:00:00"/>
        <groupItems count="6">
          <s v="&lt;02-05-2021"/>
          <s v="Qtr1"/>
          <s v="Qtr2"/>
          <s v="Qtr3"/>
          <s v="Qtr4"/>
          <s v="&gt;02-02-2026"/>
        </groupItems>
      </fieldGroup>
    </cacheField>
    <cacheField name="Years (Exit Date)" numFmtId="0" databaseField="0">
      <fieldGroup base="5">
        <rangePr groupBy="years" startDate="2021-05-02T00:00:00" endDate="2026-02-02T00:00:00"/>
        <groupItems count="8">
          <s v="&lt;02-05-2021"/>
          <s v="2021"/>
          <s v="2022"/>
          <s v="2023"/>
          <s v="2024"/>
          <s v="2025"/>
          <s v="2026"/>
          <s v="&gt;02-02-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73628391204" createdVersion="8" refreshedVersion="8" minRefreshableVersion="3" recordCount="30" xr:uid="{8B1DED1C-0425-405C-B316-106590D1C0A1}">
  <cacheSource type="worksheet">
    <worksheetSource ref="A1:H31" sheet="Inventory"/>
  </cacheSource>
  <cacheFields count="9">
    <cacheField name="Product ID" numFmtId="0">
      <sharedItems/>
    </cacheField>
    <cacheField name="Product Category" numFmtId="0">
      <sharedItems count="3">
        <s v="Electronics"/>
        <s v="Furniture"/>
        <s v="Stationery"/>
      </sharedItems>
    </cacheField>
    <cacheField name="Warehouse" numFmtId="0">
      <sharedItems count="3">
        <s v="W1"/>
        <s v="W2"/>
        <s v="W3"/>
      </sharedItems>
    </cacheField>
    <cacheField name="Opening Stock" numFmtId="0">
      <sharedItems containsSemiMixedTypes="0" containsString="0" containsNumber="1" containsInteger="1" minValue="54" maxValue="196"/>
    </cacheField>
    <cacheField name="Quantity Sold" numFmtId="0">
      <sharedItems containsSemiMixedTypes="0" containsString="0" containsNumber="1" containsInteger="1" minValue="10" maxValue="80"/>
    </cacheField>
    <cacheField name="Quantity Purchased" numFmtId="0">
      <sharedItems containsSemiMixedTypes="0" containsString="0" containsNumber="1" containsInteger="1" minValue="21" maxValue="91"/>
    </cacheField>
    <cacheField name="Date" numFmtId="164">
      <sharedItems containsSemiMixedTypes="0" containsNonDate="0" containsDate="1" containsString="0" minDate="2023-01-11T00:00:00" maxDate="2023-12-27T00:00:00" count="30">
        <d v="2023-08-17T00:00:00"/>
        <d v="2023-09-20T00:00:00"/>
        <d v="2023-02-26T00:00:00"/>
        <d v="2023-10-15T00:00:00"/>
        <d v="2023-12-18T00:00:00"/>
        <d v="2023-12-09T00:00:00"/>
        <d v="2023-09-22T00:00:00"/>
        <d v="2023-10-25T00:00:00"/>
        <d v="2023-06-17T00:00:00"/>
        <d v="2023-02-15T00:00:00"/>
        <d v="2023-01-21T00:00:00"/>
        <d v="2023-01-15T00:00:00"/>
        <d v="2023-04-25T00:00:00"/>
        <d v="2023-08-15T00:00:00"/>
        <d v="2023-04-10T00:00:00"/>
        <d v="2023-10-31T00:00:00"/>
        <d v="2023-02-21T00:00:00"/>
        <d v="2023-03-18T00:00:00"/>
        <d v="2023-03-19T00:00:00"/>
        <d v="2023-08-28T00:00:00"/>
        <d v="2023-05-06T00:00:00"/>
        <d v="2023-11-17T00:00:00"/>
        <d v="2023-06-23T00:00:00"/>
        <d v="2023-12-26T00:00:00"/>
        <d v="2023-03-02T00:00:00"/>
        <d v="2023-07-16T00:00:00"/>
        <d v="2023-01-11T00:00:00"/>
        <d v="2023-12-01T00:00:00"/>
        <d v="2023-08-09T00:00:00"/>
        <d v="2023-01-18T00:00:00"/>
      </sharedItems>
      <fieldGroup par="8"/>
    </cacheField>
    <cacheField name="Closing Stock" numFmtId="0">
      <sharedItems containsSemiMixedTypes="0" containsString="0" containsNumber="1" containsInteger="1" minValue="0" maxValue="239" count="29">
        <n v="124"/>
        <n v="106"/>
        <n v="0"/>
        <n v="190"/>
        <n v="85"/>
        <n v="159"/>
        <n v="176"/>
        <n v="239"/>
        <n v="129"/>
        <n v="126"/>
        <n v="181"/>
        <n v="105"/>
        <n v="135"/>
        <n v="182"/>
        <n v="165"/>
        <n v="100"/>
        <n v="121"/>
        <n v="177"/>
        <n v="116"/>
        <n v="76"/>
        <n v="175"/>
        <n v="82"/>
        <n v="144"/>
        <n v="60"/>
        <n v="61"/>
        <n v="58"/>
        <n v="48"/>
        <n v="138"/>
        <n v="216"/>
      </sharedItems>
    </cacheField>
    <cacheField name="Days (Date)" numFmtId="0" databaseField="0">
      <fieldGroup base="6">
        <rangePr groupBy="days" startDate="2023-01-11T00:00:00" endDate="2023-12-27T00:00:00" groupInterval="7"/>
        <groupItems count="52">
          <s v="&lt;11-01-2023"/>
          <s v="11-01-2023 - 17-01-2023"/>
          <s v="18-01-2023 - 24-01-2023"/>
          <s v="25-01-2023 - 31-01-2023"/>
          <s v="01-02-2023 - 07-02-2023"/>
          <s v="08-02-2023 - 14-02-2023"/>
          <s v="15-02-2023 - 21-02-2023"/>
          <s v="22-02-2023 - 28-02-2023"/>
          <s v="01-03-2023 - 07-03-2023"/>
          <s v="08-03-2023 - 14-03-2023"/>
          <s v="15-03-2023 - 21-03-2023"/>
          <s v="22-03-2023 - 28-03-2023"/>
          <s v="29-03-2023 - 04-04-2023"/>
          <s v="05-04-2023 - 11-04-2023"/>
          <s v="12-04-2023 - 18-04-2023"/>
          <s v="19-04-2023 - 25-04-2023"/>
          <s v="26-04-2023 - 02-05-2023"/>
          <s v="03-05-2023 - 09-05-2023"/>
          <s v="10-05-2023 - 16-05-2023"/>
          <s v="17-05-2023 - 23-05-2023"/>
          <s v="24-05-2023 - 30-05-2023"/>
          <s v="31-05-2023 - 06-06-2023"/>
          <s v="07-06-2023 - 13-06-2023"/>
          <s v="14-06-2023 - 20-06-2023"/>
          <s v="21-06-2023 - 27-06-2023"/>
          <s v="28-06-2023 - 04-07-2023"/>
          <s v="05-07-2023 - 11-07-2023"/>
          <s v="12-07-2023 - 18-07-2023"/>
          <s v="19-07-2023 - 25-07-2023"/>
          <s v="26-07-2023 - 01-08-2023"/>
          <s v="02-08-2023 - 08-08-2023"/>
          <s v="09-08-2023 - 15-08-2023"/>
          <s v="16-08-2023 - 22-08-2023"/>
          <s v="23-08-2023 - 29-08-2023"/>
          <s v="30-08-2023 - 05-09-2023"/>
          <s v="06-09-2023 - 12-09-2023"/>
          <s v="13-09-2023 - 19-09-2023"/>
          <s v="20-09-2023 - 26-09-2023"/>
          <s v="27-09-2023 - 03-10-2023"/>
          <s v="04-10-2023 - 10-10-2023"/>
          <s v="11-10-2023 - 17-10-2023"/>
          <s v="18-10-2023 - 24-10-2023"/>
          <s v="25-10-2023 - 31-10-2023"/>
          <s v="01-11-2023 - 07-11-2023"/>
          <s v="08-11-2023 - 14-11-2023"/>
          <s v="15-11-2023 - 21-11-2023"/>
          <s v="22-11-2023 - 28-11-2023"/>
          <s v="29-11-2023 - 05-12-2023"/>
          <s v="06-12-2023 - 12-12-2023"/>
          <s v="13-12-2023 - 19-12-2023"/>
          <s v="20-12-2023 - 26-12-2023"/>
          <s v="&gt;27-12-2023"/>
        </groupItems>
      </fieldGroup>
    </cacheField>
  </cacheFields>
  <extLst>
    <ext xmlns:x14="http://schemas.microsoft.com/office/spreadsheetml/2009/9/main" uri="{725AE2AE-9491-48be-B2B4-4EB974FC3084}">
      <x14:pivotCacheDefinition pivotCacheId="91274033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788982407408" createdVersion="8" refreshedVersion="8" minRefreshableVersion="3" recordCount="30" xr:uid="{9CE9EF4A-6FA2-457F-81F7-7FE7342E233B}">
  <cacheSource type="worksheet">
    <worksheetSource ref="A1:F31" sheet="Expense Tracking"/>
  </cacheSource>
  <cacheFields count="8">
    <cacheField name="Department" numFmtId="0">
      <sharedItems count="4">
        <s v="IT"/>
        <s v="Admin"/>
        <s v="Operations"/>
        <s v="Marketing"/>
      </sharedItems>
    </cacheField>
    <cacheField name="Expense Category" numFmtId="0">
      <sharedItems count="4">
        <s v="Consulting"/>
        <s v="Travel"/>
        <s v="Supplies"/>
        <s v="Software"/>
      </sharedItems>
    </cacheField>
    <cacheField name="Expense Amount" numFmtId="0">
      <sharedItems containsSemiMixedTypes="0" containsString="0" containsNumber="1" containsInteger="1" minValue="1399" maxValue="9223"/>
    </cacheField>
    <cacheField name="Budget" numFmtId="0">
      <sharedItems containsSemiMixedTypes="0" containsString="0" containsNumber="1" containsInteger="1" minValue="5074" maxValue="14543"/>
    </cacheField>
    <cacheField name="Date" numFmtId="164">
      <sharedItems containsSemiMixedTypes="0" containsNonDate="0" containsDate="1" containsString="0" minDate="2023-01-15T00:00:00" maxDate="2023-12-21T00:00:00" count="29">
        <d v="2023-06-14T00:00:00"/>
        <d v="2023-07-04T00:00:00"/>
        <d v="2023-07-18T00:00:00"/>
        <d v="2023-12-20T00:00:00"/>
        <d v="2023-04-06T00:00:00"/>
        <d v="2023-04-18T00:00:00"/>
        <d v="2023-06-28T00:00:00"/>
        <d v="2023-11-30T00:00:00"/>
        <d v="2023-09-07T00:00:00"/>
        <d v="2023-01-15T00:00:00"/>
        <d v="2023-09-22T00:00:00"/>
        <d v="2023-08-02T00:00:00"/>
        <d v="2023-02-23T00:00:00"/>
        <d v="2023-08-14T00:00:00"/>
        <d v="2023-09-14T00:00:00"/>
        <d v="2023-11-03T00:00:00"/>
        <d v="2023-07-21T00:00:00"/>
        <d v="2023-10-11T00:00:00"/>
        <d v="2023-04-25T00:00:00"/>
        <d v="2023-07-23T00:00:00"/>
        <d v="2023-08-20T00:00:00"/>
        <d v="2023-05-20T00:00:00"/>
        <d v="2023-09-08T00:00:00"/>
        <d v="2023-03-18T00:00:00"/>
        <d v="2023-05-17T00:00:00"/>
        <d v="2023-11-29T00:00:00"/>
        <d v="2023-07-11T00:00:00"/>
        <d v="2023-12-17T00:00:00"/>
        <d v="2023-07-13T00:00:00"/>
      </sharedItems>
      <fieldGroup par="7"/>
    </cacheField>
    <cacheField name="Project Name" numFmtId="0">
      <sharedItems count="4">
        <s v="Delta"/>
        <s v="Alpha"/>
        <s v="Gamma"/>
        <s v="Beta"/>
      </sharedItems>
    </cacheField>
    <cacheField name="Days (Date)" numFmtId="0" databaseField="0">
      <fieldGroup base="4">
        <rangePr groupBy="days" startDate="2023-01-15T00:00:00" endDate="2023-12-21T00:00:00"/>
        <groupItems count="368">
          <s v="&lt;15-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1-12-2023"/>
        </groupItems>
      </fieldGroup>
    </cacheField>
    <cacheField name="Months (Date)" numFmtId="0" databaseField="0">
      <fieldGroup base="4">
        <rangePr groupBy="months" startDate="2023-01-15T00:00:00" endDate="2023-12-21T00:00:00"/>
        <groupItems count="14">
          <s v="&lt;15-01-2023"/>
          <s v="Jan"/>
          <s v="Feb"/>
          <s v="Mar"/>
          <s v="Apr"/>
          <s v="May"/>
          <s v="Jun"/>
          <s v="Jul"/>
          <s v="Aug"/>
          <s v="Sep"/>
          <s v="Oct"/>
          <s v="Nov"/>
          <s v="Dec"/>
          <s v="&gt;21-12-2023"/>
        </groupItems>
      </fieldGroup>
    </cacheField>
  </cacheFields>
  <extLst>
    <ext xmlns:x14="http://schemas.microsoft.com/office/spreadsheetml/2009/9/main" uri="{725AE2AE-9491-48be-B2B4-4EB974FC3084}">
      <x14:pivotCacheDefinition pivotCacheId="136139283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8.821415162034" createdVersion="8" refreshedVersion="8" minRefreshableVersion="3" recordCount="30" xr:uid="{3BFE3AA7-9928-4877-9580-230B6413CFC7}">
  <cacheSource type="worksheet">
    <worksheetSource ref="A1:H31" sheet="Customer Orders"/>
  </cacheSource>
  <cacheFields count="10">
    <cacheField name="Order ID" numFmtId="0">
      <sharedItems count="30">
        <s v="O1000"/>
        <s v="O1001"/>
        <s v="O1002"/>
        <s v="O1003"/>
        <s v="O1004"/>
        <s v="O1005"/>
        <s v="O1006"/>
        <s v="O1007"/>
        <s v="O1008"/>
        <s v="O1009"/>
        <s v="O1010"/>
        <s v="O1011"/>
        <s v="O1012"/>
        <s v="O1013"/>
        <s v="O1014"/>
        <s v="O1015"/>
        <s v="O1016"/>
        <s v="O1017"/>
        <s v="O1018"/>
        <s v="O1019"/>
        <s v="O1020"/>
        <s v="O1021"/>
        <s v="O1022"/>
        <s v="O1023"/>
        <s v="O1024"/>
        <s v="O1025"/>
        <s v="O1026"/>
        <s v="O1027"/>
        <s v="O1028"/>
        <s v="O1029"/>
      </sharedItems>
    </cacheField>
    <cacheField name="Customer Name" numFmtId="0">
      <sharedItems count="5">
        <s v="Adani"/>
        <s v="Tata"/>
        <s v="HUL"/>
        <s v="Reliance"/>
        <s v="Flipkart"/>
      </sharedItems>
    </cacheField>
    <cacheField name="Order Date" numFmtId="164">
      <sharedItems containsSemiMixedTypes="0" containsNonDate="0" containsDate="1" containsString="0" minDate="2023-02-01T00:00:00" maxDate="2023-11-24T00:00:00" count="30">
        <d v="2023-05-03T00:00:00"/>
        <d v="2023-05-19T00:00:00"/>
        <d v="2023-02-20T00:00:00"/>
        <d v="2023-10-01T00:00:00"/>
        <d v="2023-10-24T00:00:00"/>
        <d v="2023-11-08T00:00:00"/>
        <d v="2023-07-04T00:00:00"/>
        <d v="2023-08-05T00:00:00"/>
        <d v="2023-07-18T00:00:00"/>
        <d v="2023-09-30T00:00:00"/>
        <d v="2023-05-22T00:00:00"/>
        <d v="2023-10-08T00:00:00"/>
        <d v="2023-07-23T00:00:00"/>
        <d v="2023-09-13T00:00:00"/>
        <d v="2023-10-19T00:00:00"/>
        <d v="2023-03-21T00:00:00"/>
        <d v="2023-07-28T00:00:00"/>
        <d v="2023-02-01T00:00:00"/>
        <d v="2023-09-27T00:00:00"/>
        <d v="2023-11-23T00:00:00"/>
        <d v="2023-06-13T00:00:00"/>
        <d v="2023-04-23T00:00:00"/>
        <d v="2023-08-03T00:00:00"/>
        <d v="2023-05-25T00:00:00"/>
        <d v="2023-05-04T00:00:00"/>
        <d v="2023-10-12T00:00:00"/>
        <d v="2023-06-04T00:00:00"/>
        <d v="2023-02-25T00:00:00"/>
        <d v="2023-11-06T00:00:00"/>
        <d v="2023-11-20T00:00:00"/>
      </sharedItems>
      <fieldGroup par="9"/>
    </cacheField>
    <cacheField name="Delivery Date" numFmtId="164">
      <sharedItems containsSemiMixedTypes="0" containsNonDate="0" containsDate="1" containsString="0" minDate="2023-02-02T00:00:00" maxDate="2023-12-02T00:00:00"/>
    </cacheField>
    <cacheField name="Product" numFmtId="0">
      <sharedItems count="4">
        <s v="Switch"/>
        <s v="Access Point"/>
        <s v="Router"/>
        <s v="Modem"/>
      </sharedItems>
    </cacheField>
    <cacheField name="Order Value" numFmtId="0">
      <sharedItems containsSemiMixedTypes="0" containsString="0" containsNumber="1" containsInteger="1" minValue="5730" maxValue="48063"/>
    </cacheField>
    <cacheField name="Delivery Status" numFmtId="0">
      <sharedItems count="2">
        <s v="On Time"/>
        <s v="Delayed"/>
      </sharedItems>
    </cacheField>
    <cacheField name="Delivery Duration (Days)" numFmtId="0">
      <sharedItems containsSemiMixedTypes="0" containsString="0" containsNumber="1" containsInteger="1" minValue="1" maxValue="10"/>
    </cacheField>
    <cacheField name="Days (Order Date)" numFmtId="0" databaseField="0">
      <fieldGroup base="2">
        <rangePr groupBy="days" startDate="2023-02-01T00:00:00" endDate="2023-11-24T00:00:00"/>
        <groupItems count="368">
          <s v="&lt;01-02-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4-11-2023"/>
        </groupItems>
      </fieldGroup>
    </cacheField>
    <cacheField name="Months (Order Date)" numFmtId="0" databaseField="0">
      <fieldGroup base="2">
        <rangePr groupBy="months" startDate="2023-02-01T00:00:00" endDate="2023-11-24T00:00:00"/>
        <groupItems count="14">
          <s v="&lt;01-02-2023"/>
          <s v="Jan"/>
          <s v="Feb"/>
          <s v="Mar"/>
          <s v="Apr"/>
          <s v="May"/>
          <s v="Jun"/>
          <s v="Jul"/>
          <s v="Aug"/>
          <s v="Sep"/>
          <s v="Oct"/>
          <s v="Nov"/>
          <s v="Dec"/>
          <s v="&gt;24-11-2023"/>
        </groupItems>
      </fieldGroup>
    </cacheField>
  </cacheFields>
  <extLst>
    <ext xmlns:x14="http://schemas.microsoft.com/office/spreadsheetml/2009/9/main" uri="{725AE2AE-9491-48be-B2B4-4EB974FC3084}">
      <x14:pivotCacheDefinition pivotCacheId="1175383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
    <n v="809"/>
    <x v="0"/>
    <n v="1941.6"/>
    <m/>
  </r>
  <r>
    <x v="1"/>
    <x v="0"/>
    <x v="1"/>
    <x v="0"/>
    <n v="10"/>
    <n v="418"/>
    <x v="1"/>
    <n v="836"/>
    <m/>
  </r>
  <r>
    <x v="2"/>
    <x v="1"/>
    <x v="2"/>
    <x v="1"/>
    <n v="12"/>
    <n v="528"/>
    <x v="2"/>
    <n v="1267.2"/>
    <m/>
  </r>
  <r>
    <x v="3"/>
    <x v="2"/>
    <x v="3"/>
    <x v="2"/>
    <n v="10"/>
    <n v="761"/>
    <x v="3"/>
    <n v="1522"/>
    <m/>
  </r>
  <r>
    <x v="4"/>
    <x v="1"/>
    <x v="2"/>
    <x v="1"/>
    <n v="20"/>
    <n v="216"/>
    <x v="4"/>
    <n v="864"/>
    <m/>
  </r>
  <r>
    <x v="5"/>
    <x v="1"/>
    <x v="2"/>
    <x v="3"/>
    <n v="20"/>
    <n v="975"/>
    <x v="5"/>
    <n v="3900"/>
    <m/>
  </r>
  <r>
    <x v="6"/>
    <x v="2"/>
    <x v="1"/>
    <x v="0"/>
    <n v="14"/>
    <n v="779"/>
    <x v="6"/>
    <n v="2181.1999999999998"/>
    <m/>
  </r>
  <r>
    <x v="0"/>
    <x v="0"/>
    <x v="0"/>
    <x v="1"/>
    <n v="17"/>
    <n v="637"/>
    <x v="7"/>
    <n v="2165.8000000000002"/>
    <m/>
  </r>
  <r>
    <x v="7"/>
    <x v="2"/>
    <x v="2"/>
    <x v="3"/>
    <n v="19"/>
    <n v="877"/>
    <x v="8"/>
    <n v="3332.6"/>
    <m/>
  </r>
  <r>
    <x v="8"/>
    <x v="3"/>
    <x v="1"/>
    <x v="0"/>
    <n v="6"/>
    <n v="579"/>
    <x v="9"/>
    <n v="694.80000000000007"/>
    <m/>
  </r>
  <r>
    <x v="9"/>
    <x v="2"/>
    <x v="3"/>
    <x v="3"/>
    <n v="4"/>
    <n v="945"/>
    <x v="10"/>
    <n v="756"/>
    <m/>
  </r>
  <r>
    <x v="10"/>
    <x v="0"/>
    <x v="1"/>
    <x v="3"/>
    <n v="7"/>
    <n v="312"/>
    <x v="11"/>
    <n v="436.8"/>
    <m/>
  </r>
  <r>
    <x v="11"/>
    <x v="3"/>
    <x v="4"/>
    <x v="1"/>
    <n v="20"/>
    <n v="541"/>
    <x v="12"/>
    <n v="2164"/>
    <m/>
  </r>
  <r>
    <x v="12"/>
    <x v="3"/>
    <x v="0"/>
    <x v="4"/>
    <n v="20"/>
    <n v="566"/>
    <x v="13"/>
    <n v="2264"/>
    <m/>
  </r>
  <r>
    <x v="13"/>
    <x v="2"/>
    <x v="0"/>
    <x v="4"/>
    <n v="1"/>
    <n v="995"/>
    <x v="14"/>
    <n v="199"/>
    <m/>
  </r>
  <r>
    <x v="14"/>
    <x v="1"/>
    <x v="0"/>
    <x v="4"/>
    <n v="20"/>
    <n v="877"/>
    <x v="15"/>
    <n v="3508"/>
    <m/>
  </r>
  <r>
    <x v="15"/>
    <x v="2"/>
    <x v="1"/>
    <x v="0"/>
    <n v="4"/>
    <n v="545"/>
    <x v="16"/>
    <n v="436"/>
    <m/>
  </r>
  <r>
    <x v="12"/>
    <x v="3"/>
    <x v="4"/>
    <x v="3"/>
    <n v="1"/>
    <n v="970"/>
    <x v="17"/>
    <n v="194"/>
    <m/>
  </r>
  <r>
    <x v="16"/>
    <x v="0"/>
    <x v="3"/>
    <x v="2"/>
    <n v="10"/>
    <n v="267"/>
    <x v="18"/>
    <n v="534"/>
    <m/>
  </r>
  <r>
    <x v="17"/>
    <x v="2"/>
    <x v="2"/>
    <x v="4"/>
    <n v="17"/>
    <n v="318"/>
    <x v="19"/>
    <n v="1081.2"/>
    <m/>
  </r>
  <r>
    <x v="18"/>
    <x v="0"/>
    <x v="3"/>
    <x v="0"/>
    <n v="7"/>
    <n v="164"/>
    <x v="20"/>
    <n v="229.6"/>
    <m/>
  </r>
  <r>
    <x v="19"/>
    <x v="1"/>
    <x v="1"/>
    <x v="4"/>
    <n v="16"/>
    <n v="617"/>
    <x v="21"/>
    <n v="1974.4"/>
    <m/>
  </r>
  <r>
    <x v="20"/>
    <x v="1"/>
    <x v="2"/>
    <x v="0"/>
    <n v="13"/>
    <n v="281"/>
    <x v="22"/>
    <n v="730.6"/>
    <m/>
  </r>
  <r>
    <x v="21"/>
    <x v="1"/>
    <x v="2"/>
    <x v="4"/>
    <n v="13"/>
    <n v="895"/>
    <x v="23"/>
    <n v="2327"/>
    <m/>
  </r>
  <r>
    <x v="22"/>
    <x v="3"/>
    <x v="2"/>
    <x v="0"/>
    <n v="10"/>
    <n v="457"/>
    <x v="24"/>
    <n v="914"/>
    <m/>
  </r>
  <r>
    <x v="23"/>
    <x v="1"/>
    <x v="0"/>
    <x v="2"/>
    <n v="8"/>
    <n v="945"/>
    <x v="25"/>
    <n v="1512"/>
    <m/>
  </r>
  <r>
    <x v="24"/>
    <x v="1"/>
    <x v="2"/>
    <x v="3"/>
    <n v="9"/>
    <n v="873"/>
    <x v="26"/>
    <n v="1571.4"/>
    <m/>
  </r>
  <r>
    <x v="25"/>
    <x v="3"/>
    <x v="2"/>
    <x v="0"/>
    <n v="17"/>
    <n v="828"/>
    <x v="27"/>
    <n v="2815.2"/>
    <m/>
  </r>
  <r>
    <x v="26"/>
    <x v="2"/>
    <x v="2"/>
    <x v="3"/>
    <n v="16"/>
    <n v="515"/>
    <x v="28"/>
    <n v="1648"/>
    <m/>
  </r>
  <r>
    <x v="19"/>
    <x v="1"/>
    <x v="2"/>
    <x v="1"/>
    <n v="2"/>
    <n v="918"/>
    <x v="29"/>
    <n v="367.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1000"/>
    <x v="0"/>
    <x v="0"/>
    <n v="48"/>
    <d v="2023-01-30T00:00:00"/>
    <x v="0"/>
    <x v="0"/>
    <n v="57360"/>
  </r>
  <r>
    <s v="E1001"/>
    <x v="1"/>
    <x v="0"/>
    <n v="44"/>
    <d v="2023-02-04T00:00:00"/>
    <x v="1"/>
    <x v="0"/>
    <n v="39014"/>
  </r>
  <r>
    <s v="E1002"/>
    <x v="1"/>
    <x v="1"/>
    <n v="44"/>
    <d v="2021-12-04T00:00:00"/>
    <x v="2"/>
    <x v="1"/>
    <n v="30083"/>
  </r>
  <r>
    <s v="E1003"/>
    <x v="0"/>
    <x v="1"/>
    <n v="23"/>
    <d v="2021-05-04T00:00:00"/>
    <x v="3"/>
    <x v="0"/>
    <n v="71032"/>
  </r>
  <r>
    <s v="E1004"/>
    <x v="1"/>
    <x v="0"/>
    <n v="48"/>
    <d v="2022-03-28T00:00:00"/>
    <x v="2"/>
    <x v="1"/>
    <n v="46427"/>
  </r>
  <r>
    <s v="E1005"/>
    <x v="1"/>
    <x v="0"/>
    <n v="36"/>
    <d v="2023-03-15T00:00:00"/>
    <x v="4"/>
    <x v="0"/>
    <n v="104801"/>
  </r>
  <r>
    <s v="E1006"/>
    <x v="2"/>
    <x v="1"/>
    <n v="31"/>
    <d v="2023-03-18T00:00:00"/>
    <x v="5"/>
    <x v="0"/>
    <n v="63913"/>
  </r>
  <r>
    <s v="E1007"/>
    <x v="0"/>
    <x v="1"/>
    <n v="39"/>
    <d v="2020-02-06T00:00:00"/>
    <x v="2"/>
    <x v="1"/>
    <n v="79964"/>
  </r>
  <r>
    <s v="E1008"/>
    <x v="3"/>
    <x v="1"/>
    <n v="41"/>
    <d v="2021-07-18T00:00:00"/>
    <x v="6"/>
    <x v="0"/>
    <n v="71187"/>
  </r>
  <r>
    <s v="E1009"/>
    <x v="2"/>
    <x v="1"/>
    <n v="33"/>
    <d v="2020-11-25T00:00:00"/>
    <x v="7"/>
    <x v="0"/>
    <n v="85778"/>
  </r>
  <r>
    <s v="E1010"/>
    <x v="4"/>
    <x v="0"/>
    <n v="44"/>
    <d v="2023-12-19T00:00:00"/>
    <x v="8"/>
    <x v="0"/>
    <n v="38642"/>
  </r>
  <r>
    <s v="E1011"/>
    <x v="2"/>
    <x v="1"/>
    <n v="39"/>
    <d v="2023-02-03T00:00:00"/>
    <x v="9"/>
    <x v="0"/>
    <n v="52972"/>
  </r>
  <r>
    <s v="E1012"/>
    <x v="4"/>
    <x v="1"/>
    <n v="49"/>
    <d v="2021-01-31T00:00:00"/>
    <x v="10"/>
    <x v="0"/>
    <n v="105379"/>
  </r>
  <r>
    <s v="E1013"/>
    <x v="1"/>
    <x v="1"/>
    <n v="34"/>
    <d v="2023-07-12T00:00:00"/>
    <x v="2"/>
    <x v="1"/>
    <n v="107731"/>
  </r>
  <r>
    <s v="E1014"/>
    <x v="1"/>
    <x v="1"/>
    <n v="27"/>
    <d v="2021-04-13T00:00:00"/>
    <x v="2"/>
    <x v="1"/>
    <n v="32559"/>
  </r>
  <r>
    <s v="E1015"/>
    <x v="2"/>
    <x v="0"/>
    <n v="44"/>
    <d v="2020-02-21T00:00:00"/>
    <x v="11"/>
    <x v="0"/>
    <n v="55865"/>
  </r>
  <r>
    <s v="E1016"/>
    <x v="2"/>
    <x v="1"/>
    <n v="25"/>
    <d v="2022-08-03T00:00:00"/>
    <x v="12"/>
    <x v="0"/>
    <n v="98094"/>
  </r>
  <r>
    <s v="E1017"/>
    <x v="3"/>
    <x v="0"/>
    <n v="33"/>
    <d v="2021-08-28T00:00:00"/>
    <x v="2"/>
    <x v="1"/>
    <n v="90546"/>
  </r>
  <r>
    <s v="E1018"/>
    <x v="3"/>
    <x v="1"/>
    <n v="22"/>
    <d v="2020-01-22T00:00:00"/>
    <x v="13"/>
    <x v="0"/>
    <n v="34566"/>
  </r>
  <r>
    <s v="E1019"/>
    <x v="3"/>
    <x v="0"/>
    <n v="24"/>
    <d v="2020-10-25T00:00:00"/>
    <x v="14"/>
    <x v="0"/>
    <n v="105366"/>
  </r>
  <r>
    <s v="E1020"/>
    <x v="0"/>
    <x v="0"/>
    <n v="30"/>
    <d v="2022-03-04T00:00:00"/>
    <x v="2"/>
    <x v="1"/>
    <n v="63032"/>
  </r>
  <r>
    <s v="E1021"/>
    <x v="1"/>
    <x v="1"/>
    <n v="29"/>
    <d v="2021-09-25T00:00:00"/>
    <x v="2"/>
    <x v="1"/>
    <n v="65831"/>
  </r>
  <r>
    <s v="E1022"/>
    <x v="3"/>
    <x v="1"/>
    <n v="46"/>
    <d v="2022-12-03T00:00:00"/>
    <x v="15"/>
    <x v="0"/>
    <n v="34892"/>
  </r>
  <r>
    <s v="E1023"/>
    <x v="4"/>
    <x v="0"/>
    <n v="31"/>
    <d v="2020-02-23T00:00:00"/>
    <x v="2"/>
    <x v="1"/>
    <n v="31149"/>
  </r>
  <r>
    <s v="E1024"/>
    <x v="2"/>
    <x v="0"/>
    <n v="41"/>
    <d v="2023-10-09T00:00:00"/>
    <x v="16"/>
    <x v="0"/>
    <n v="42901"/>
  </r>
  <r>
    <s v="E1025"/>
    <x v="4"/>
    <x v="1"/>
    <n v="41"/>
    <d v="2023-08-09T00:00:00"/>
    <x v="2"/>
    <x v="1"/>
    <n v="84454"/>
  </r>
  <r>
    <s v="E1026"/>
    <x v="4"/>
    <x v="0"/>
    <n v="32"/>
    <d v="2022-02-09T00:00:00"/>
    <x v="17"/>
    <x v="0"/>
    <n v="57114"/>
  </r>
  <r>
    <s v="E1027"/>
    <x v="2"/>
    <x v="1"/>
    <n v="37"/>
    <d v="2023-09-10T00:00:00"/>
    <x v="18"/>
    <x v="0"/>
    <n v="64488"/>
  </r>
  <r>
    <s v="E1028"/>
    <x v="4"/>
    <x v="0"/>
    <n v="41"/>
    <d v="2022-06-27T00:00:00"/>
    <x v="19"/>
    <x v="0"/>
    <n v="89017"/>
  </r>
  <r>
    <s v="E1029"/>
    <x v="2"/>
    <x v="1"/>
    <n v="28"/>
    <d v="2023-10-11T00:00:00"/>
    <x v="20"/>
    <x v="0"/>
    <n v="1056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100"/>
    <x v="0"/>
    <x v="0"/>
    <n v="120"/>
    <n v="80"/>
    <n v="84"/>
    <x v="0"/>
    <x v="0"/>
  </r>
  <r>
    <s v="P101"/>
    <x v="1"/>
    <x v="1"/>
    <n v="132"/>
    <n v="54"/>
    <n v="28"/>
    <x v="1"/>
    <x v="1"/>
  </r>
  <r>
    <s v="P102"/>
    <x v="0"/>
    <x v="0"/>
    <n v="54"/>
    <n v="79"/>
    <n v="25"/>
    <x v="2"/>
    <x v="2"/>
  </r>
  <r>
    <s v="P103"/>
    <x v="0"/>
    <x v="2"/>
    <n v="184"/>
    <n v="75"/>
    <n v="81"/>
    <x v="3"/>
    <x v="3"/>
  </r>
  <r>
    <s v="P104"/>
    <x v="2"/>
    <x v="0"/>
    <n v="100"/>
    <n v="44"/>
    <n v="29"/>
    <x v="4"/>
    <x v="4"/>
  </r>
  <r>
    <s v="P105"/>
    <x v="1"/>
    <x v="1"/>
    <n v="163"/>
    <n v="67"/>
    <n v="63"/>
    <x v="5"/>
    <x v="5"/>
  </r>
  <r>
    <s v="P106"/>
    <x v="2"/>
    <x v="0"/>
    <n v="196"/>
    <n v="64"/>
    <n v="44"/>
    <x v="6"/>
    <x v="6"/>
  </r>
  <r>
    <s v="P107"/>
    <x v="0"/>
    <x v="1"/>
    <n v="194"/>
    <n v="46"/>
    <n v="91"/>
    <x v="7"/>
    <x v="7"/>
  </r>
  <r>
    <s v="P108"/>
    <x v="2"/>
    <x v="0"/>
    <n v="95"/>
    <n v="15"/>
    <n v="49"/>
    <x v="8"/>
    <x v="8"/>
  </r>
  <r>
    <s v="P109"/>
    <x v="2"/>
    <x v="1"/>
    <n v="97"/>
    <n v="33"/>
    <n v="62"/>
    <x v="9"/>
    <x v="9"/>
  </r>
  <r>
    <s v="P110"/>
    <x v="2"/>
    <x v="1"/>
    <n v="177"/>
    <n v="63"/>
    <n v="67"/>
    <x v="10"/>
    <x v="10"/>
  </r>
  <r>
    <s v="P111"/>
    <x v="0"/>
    <x v="1"/>
    <n v="114"/>
    <n v="72"/>
    <n v="63"/>
    <x v="11"/>
    <x v="11"/>
  </r>
  <r>
    <s v="P112"/>
    <x v="1"/>
    <x v="1"/>
    <n v="122"/>
    <n v="55"/>
    <n v="68"/>
    <x v="12"/>
    <x v="12"/>
  </r>
  <r>
    <s v="P113"/>
    <x v="0"/>
    <x v="1"/>
    <n v="188"/>
    <n v="32"/>
    <n v="26"/>
    <x v="13"/>
    <x v="13"/>
  </r>
  <r>
    <s v="P114"/>
    <x v="0"/>
    <x v="0"/>
    <n v="181"/>
    <n v="66"/>
    <n v="50"/>
    <x v="14"/>
    <x v="14"/>
  </r>
  <r>
    <s v="P115"/>
    <x v="0"/>
    <x v="2"/>
    <n v="71"/>
    <n v="36"/>
    <n v="65"/>
    <x v="15"/>
    <x v="15"/>
  </r>
  <r>
    <s v="P116"/>
    <x v="0"/>
    <x v="2"/>
    <n v="106"/>
    <n v="10"/>
    <n v="25"/>
    <x v="16"/>
    <x v="16"/>
  </r>
  <r>
    <s v="P117"/>
    <x v="0"/>
    <x v="0"/>
    <n v="129"/>
    <n v="22"/>
    <n v="70"/>
    <x v="17"/>
    <x v="17"/>
  </r>
  <r>
    <s v="P118"/>
    <x v="0"/>
    <x v="0"/>
    <n v="170"/>
    <n v="56"/>
    <n v="21"/>
    <x v="18"/>
    <x v="12"/>
  </r>
  <r>
    <s v="P119"/>
    <x v="0"/>
    <x v="0"/>
    <n v="128"/>
    <n v="40"/>
    <n v="28"/>
    <x v="19"/>
    <x v="18"/>
  </r>
  <r>
    <s v="P120"/>
    <x v="2"/>
    <x v="0"/>
    <n v="56"/>
    <n v="46"/>
    <n v="66"/>
    <x v="20"/>
    <x v="19"/>
  </r>
  <r>
    <s v="P121"/>
    <x v="2"/>
    <x v="0"/>
    <n v="136"/>
    <n v="20"/>
    <n v="59"/>
    <x v="21"/>
    <x v="20"/>
  </r>
  <r>
    <s v="P122"/>
    <x v="0"/>
    <x v="1"/>
    <n v="68"/>
    <n v="56"/>
    <n v="70"/>
    <x v="22"/>
    <x v="21"/>
  </r>
  <r>
    <s v="P123"/>
    <x v="1"/>
    <x v="2"/>
    <n v="165"/>
    <n v="68"/>
    <n v="47"/>
    <x v="23"/>
    <x v="22"/>
  </r>
  <r>
    <s v="P124"/>
    <x v="2"/>
    <x v="1"/>
    <n v="71"/>
    <n v="68"/>
    <n v="57"/>
    <x v="24"/>
    <x v="23"/>
  </r>
  <r>
    <s v="P125"/>
    <x v="2"/>
    <x v="2"/>
    <n v="56"/>
    <n v="70"/>
    <n v="75"/>
    <x v="25"/>
    <x v="24"/>
  </r>
  <r>
    <s v="P126"/>
    <x v="2"/>
    <x v="2"/>
    <n v="80"/>
    <n v="61"/>
    <n v="39"/>
    <x v="26"/>
    <x v="25"/>
  </r>
  <r>
    <s v="P127"/>
    <x v="1"/>
    <x v="1"/>
    <n v="70"/>
    <n v="68"/>
    <n v="46"/>
    <x v="27"/>
    <x v="26"/>
  </r>
  <r>
    <s v="P128"/>
    <x v="0"/>
    <x v="0"/>
    <n v="143"/>
    <n v="49"/>
    <n v="44"/>
    <x v="28"/>
    <x v="27"/>
  </r>
  <r>
    <s v="P129"/>
    <x v="2"/>
    <x v="2"/>
    <n v="168"/>
    <n v="29"/>
    <n v="77"/>
    <x v="29"/>
    <x v="2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707"/>
    <n v="5413"/>
    <x v="0"/>
    <x v="0"/>
  </r>
  <r>
    <x v="1"/>
    <x v="1"/>
    <n v="8341"/>
    <n v="10963"/>
    <x v="1"/>
    <x v="1"/>
  </r>
  <r>
    <x v="2"/>
    <x v="2"/>
    <n v="8733"/>
    <n v="8992"/>
    <x v="2"/>
    <x v="2"/>
  </r>
  <r>
    <x v="2"/>
    <x v="3"/>
    <n v="1403"/>
    <n v="7501"/>
    <x v="3"/>
    <x v="0"/>
  </r>
  <r>
    <x v="1"/>
    <x v="3"/>
    <n v="5713"/>
    <n v="11398"/>
    <x v="4"/>
    <x v="0"/>
  </r>
  <r>
    <x v="2"/>
    <x v="0"/>
    <n v="9223"/>
    <n v="13529"/>
    <x v="5"/>
    <x v="3"/>
  </r>
  <r>
    <x v="1"/>
    <x v="1"/>
    <n v="2901"/>
    <n v="12206"/>
    <x v="6"/>
    <x v="1"/>
  </r>
  <r>
    <x v="1"/>
    <x v="2"/>
    <n v="2121"/>
    <n v="11558"/>
    <x v="7"/>
    <x v="1"/>
  </r>
  <r>
    <x v="0"/>
    <x v="2"/>
    <n v="4478"/>
    <n v="12258"/>
    <x v="8"/>
    <x v="3"/>
  </r>
  <r>
    <x v="0"/>
    <x v="1"/>
    <n v="3137"/>
    <n v="10509"/>
    <x v="9"/>
    <x v="3"/>
  </r>
  <r>
    <x v="2"/>
    <x v="3"/>
    <n v="3272"/>
    <n v="11154"/>
    <x v="10"/>
    <x v="1"/>
  </r>
  <r>
    <x v="0"/>
    <x v="3"/>
    <n v="7552"/>
    <n v="5819"/>
    <x v="11"/>
    <x v="2"/>
  </r>
  <r>
    <x v="1"/>
    <x v="1"/>
    <n v="1399"/>
    <n v="5098"/>
    <x v="12"/>
    <x v="3"/>
  </r>
  <r>
    <x v="0"/>
    <x v="2"/>
    <n v="9009"/>
    <n v="8963"/>
    <x v="13"/>
    <x v="1"/>
  </r>
  <r>
    <x v="0"/>
    <x v="0"/>
    <n v="8645"/>
    <n v="8210"/>
    <x v="14"/>
    <x v="0"/>
  </r>
  <r>
    <x v="3"/>
    <x v="3"/>
    <n v="2694"/>
    <n v="7831"/>
    <x v="15"/>
    <x v="2"/>
  </r>
  <r>
    <x v="1"/>
    <x v="3"/>
    <n v="3568"/>
    <n v="6065"/>
    <x v="16"/>
    <x v="0"/>
  </r>
  <r>
    <x v="2"/>
    <x v="1"/>
    <n v="7045"/>
    <n v="14543"/>
    <x v="17"/>
    <x v="2"/>
  </r>
  <r>
    <x v="0"/>
    <x v="0"/>
    <n v="3754"/>
    <n v="13533"/>
    <x v="18"/>
    <x v="3"/>
  </r>
  <r>
    <x v="1"/>
    <x v="1"/>
    <n v="6762"/>
    <n v="5074"/>
    <x v="19"/>
    <x v="3"/>
  </r>
  <r>
    <x v="1"/>
    <x v="1"/>
    <n v="5297"/>
    <n v="10525"/>
    <x v="20"/>
    <x v="0"/>
  </r>
  <r>
    <x v="3"/>
    <x v="3"/>
    <n v="3504"/>
    <n v="5695"/>
    <x v="21"/>
    <x v="3"/>
  </r>
  <r>
    <x v="1"/>
    <x v="2"/>
    <n v="6705"/>
    <n v="8911"/>
    <x v="22"/>
    <x v="0"/>
  </r>
  <r>
    <x v="3"/>
    <x v="2"/>
    <n v="5364"/>
    <n v="8292"/>
    <x v="3"/>
    <x v="3"/>
  </r>
  <r>
    <x v="2"/>
    <x v="1"/>
    <n v="2771"/>
    <n v="14172"/>
    <x v="23"/>
    <x v="1"/>
  </r>
  <r>
    <x v="1"/>
    <x v="2"/>
    <n v="3886"/>
    <n v="5220"/>
    <x v="24"/>
    <x v="1"/>
  </r>
  <r>
    <x v="1"/>
    <x v="1"/>
    <n v="7567"/>
    <n v="13183"/>
    <x v="25"/>
    <x v="0"/>
  </r>
  <r>
    <x v="0"/>
    <x v="1"/>
    <n v="4229"/>
    <n v="7593"/>
    <x v="26"/>
    <x v="3"/>
  </r>
  <r>
    <x v="0"/>
    <x v="2"/>
    <n v="3656"/>
    <n v="14541"/>
    <x v="27"/>
    <x v="1"/>
  </r>
  <r>
    <x v="2"/>
    <x v="1"/>
    <n v="8425"/>
    <n v="12388"/>
    <x v="28"/>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d v="2023-05-10T00:00:00"/>
    <x v="0"/>
    <n v="6604"/>
    <x v="0"/>
    <n v="7"/>
  </r>
  <r>
    <x v="1"/>
    <x v="0"/>
    <x v="1"/>
    <d v="2023-05-20T00:00:00"/>
    <x v="1"/>
    <n v="32671"/>
    <x v="0"/>
    <n v="1"/>
  </r>
  <r>
    <x v="2"/>
    <x v="1"/>
    <x v="2"/>
    <d v="2023-02-26T00:00:00"/>
    <x v="1"/>
    <n v="38799"/>
    <x v="0"/>
    <n v="6"/>
  </r>
  <r>
    <x v="3"/>
    <x v="2"/>
    <x v="3"/>
    <d v="2023-10-04T00:00:00"/>
    <x v="2"/>
    <n v="40016"/>
    <x v="0"/>
    <n v="3"/>
  </r>
  <r>
    <x v="4"/>
    <x v="2"/>
    <x v="4"/>
    <d v="2023-11-03T00:00:00"/>
    <x v="1"/>
    <n v="15591"/>
    <x v="1"/>
    <n v="10"/>
  </r>
  <r>
    <x v="5"/>
    <x v="3"/>
    <x v="5"/>
    <d v="2023-11-13T00:00:00"/>
    <x v="3"/>
    <n v="6929"/>
    <x v="1"/>
    <n v="5"/>
  </r>
  <r>
    <x v="6"/>
    <x v="1"/>
    <x v="6"/>
    <d v="2023-07-13T00:00:00"/>
    <x v="1"/>
    <n v="32236"/>
    <x v="0"/>
    <n v="9"/>
  </r>
  <r>
    <x v="7"/>
    <x v="1"/>
    <x v="7"/>
    <d v="2023-08-15T00:00:00"/>
    <x v="0"/>
    <n v="7082"/>
    <x v="0"/>
    <n v="10"/>
  </r>
  <r>
    <x v="8"/>
    <x v="3"/>
    <x v="8"/>
    <d v="2023-07-25T00:00:00"/>
    <x v="0"/>
    <n v="40232"/>
    <x v="0"/>
    <n v="7"/>
  </r>
  <r>
    <x v="9"/>
    <x v="0"/>
    <x v="9"/>
    <d v="2023-10-07T00:00:00"/>
    <x v="2"/>
    <n v="34502"/>
    <x v="0"/>
    <n v="7"/>
  </r>
  <r>
    <x v="10"/>
    <x v="1"/>
    <x v="10"/>
    <d v="2023-05-24T00:00:00"/>
    <x v="3"/>
    <n v="22818"/>
    <x v="1"/>
    <n v="2"/>
  </r>
  <r>
    <x v="11"/>
    <x v="2"/>
    <x v="11"/>
    <d v="2023-10-18T00:00:00"/>
    <x v="2"/>
    <n v="45236"/>
    <x v="1"/>
    <n v="10"/>
  </r>
  <r>
    <x v="12"/>
    <x v="3"/>
    <x v="12"/>
    <d v="2023-07-30T00:00:00"/>
    <x v="3"/>
    <n v="47188"/>
    <x v="0"/>
    <n v="7"/>
  </r>
  <r>
    <x v="13"/>
    <x v="2"/>
    <x v="13"/>
    <d v="2023-09-19T00:00:00"/>
    <x v="3"/>
    <n v="40135"/>
    <x v="1"/>
    <n v="6"/>
  </r>
  <r>
    <x v="14"/>
    <x v="4"/>
    <x v="14"/>
    <d v="2023-10-22T00:00:00"/>
    <x v="1"/>
    <n v="36682"/>
    <x v="1"/>
    <n v="3"/>
  </r>
  <r>
    <x v="15"/>
    <x v="2"/>
    <x v="15"/>
    <d v="2023-03-28T00:00:00"/>
    <x v="0"/>
    <n v="14341"/>
    <x v="1"/>
    <n v="7"/>
  </r>
  <r>
    <x v="16"/>
    <x v="4"/>
    <x v="16"/>
    <d v="2023-08-03T00:00:00"/>
    <x v="3"/>
    <n v="20862"/>
    <x v="1"/>
    <n v="6"/>
  </r>
  <r>
    <x v="17"/>
    <x v="2"/>
    <x v="17"/>
    <d v="2023-02-02T00:00:00"/>
    <x v="1"/>
    <n v="46396"/>
    <x v="0"/>
    <n v="1"/>
  </r>
  <r>
    <x v="18"/>
    <x v="1"/>
    <x v="18"/>
    <d v="2023-09-28T00:00:00"/>
    <x v="1"/>
    <n v="13146"/>
    <x v="1"/>
    <n v="1"/>
  </r>
  <r>
    <x v="19"/>
    <x v="4"/>
    <x v="19"/>
    <d v="2023-12-01T00:00:00"/>
    <x v="0"/>
    <n v="30201"/>
    <x v="0"/>
    <n v="8"/>
  </r>
  <r>
    <x v="20"/>
    <x v="4"/>
    <x v="20"/>
    <d v="2023-06-19T00:00:00"/>
    <x v="1"/>
    <n v="14442"/>
    <x v="1"/>
    <n v="6"/>
  </r>
  <r>
    <x v="21"/>
    <x v="0"/>
    <x v="21"/>
    <d v="2023-05-03T00:00:00"/>
    <x v="0"/>
    <n v="43861"/>
    <x v="0"/>
    <n v="10"/>
  </r>
  <r>
    <x v="22"/>
    <x v="2"/>
    <x v="22"/>
    <d v="2023-08-10T00:00:00"/>
    <x v="1"/>
    <n v="8349"/>
    <x v="1"/>
    <n v="7"/>
  </r>
  <r>
    <x v="23"/>
    <x v="1"/>
    <x v="23"/>
    <d v="2023-05-26T00:00:00"/>
    <x v="2"/>
    <n v="5730"/>
    <x v="0"/>
    <n v="1"/>
  </r>
  <r>
    <x v="24"/>
    <x v="2"/>
    <x v="24"/>
    <d v="2023-05-11T00:00:00"/>
    <x v="0"/>
    <n v="48063"/>
    <x v="1"/>
    <n v="7"/>
  </r>
  <r>
    <x v="25"/>
    <x v="0"/>
    <x v="25"/>
    <d v="2023-10-14T00:00:00"/>
    <x v="0"/>
    <n v="12868"/>
    <x v="0"/>
    <n v="2"/>
  </r>
  <r>
    <x v="26"/>
    <x v="3"/>
    <x v="26"/>
    <d v="2023-06-13T00:00:00"/>
    <x v="1"/>
    <n v="31361"/>
    <x v="0"/>
    <n v="9"/>
  </r>
  <r>
    <x v="27"/>
    <x v="1"/>
    <x v="27"/>
    <d v="2023-03-03T00:00:00"/>
    <x v="0"/>
    <n v="5861"/>
    <x v="1"/>
    <n v="6"/>
  </r>
  <r>
    <x v="28"/>
    <x v="4"/>
    <x v="28"/>
    <d v="2023-11-15T00:00:00"/>
    <x v="3"/>
    <n v="30084"/>
    <x v="0"/>
    <n v="9"/>
  </r>
  <r>
    <x v="29"/>
    <x v="2"/>
    <x v="29"/>
    <d v="2023-11-23T00:00:00"/>
    <x v="3"/>
    <n v="13255"/>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4CE214-BF32-4ABD-8892-3ADBF16A8DA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9:L14" firstHeaderRow="0" firstDataRow="1" firstDataCol="1"/>
  <pivotFields count="11">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axis="axisRow"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1">
    <field x="-2"/>
  </colFields>
  <colItems count="2">
    <i>
      <x/>
    </i>
    <i i="1">
      <x v="1"/>
    </i>
  </colItems>
  <dataFields count="2">
    <dataField name="Sum of Revenue" fld="6"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C6238-23D1-479C-9899-738A6F59523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J2:K6" firstHeaderRow="1" firstDataRow="1" firstDataCol="1"/>
  <pivotFields count="11">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axis="axisRow" showAll="0">
      <items count="5">
        <item x="3"/>
        <item x="2"/>
        <item x="1"/>
        <item x="0"/>
        <item t="default"/>
      </items>
    </pivotField>
    <pivotField showAll="0"/>
    <pivotField showAll="0">
      <items count="6">
        <item x="2"/>
        <item x="3"/>
        <item x="4"/>
        <item x="1"/>
        <item x="0"/>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x v="3"/>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5EAFD-95BF-4823-9549-1FD02413AC5B}" name="PivotTable7"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J32:K42" firstHeaderRow="1" firstDataRow="1" firstDataCol="1"/>
  <pivotFields count="11">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axis="axisRow" showAll="0">
      <items count="6">
        <item x="2"/>
        <item x="3"/>
        <item x="4"/>
        <item x="1"/>
        <item x="0"/>
        <item t="default"/>
      </items>
    </pivotField>
    <pivotField showAll="0"/>
    <pivotField showAll="0"/>
    <pivotField axis="axisRow" dataField="1" showAll="0" measureFilter="1" sortType="descending">
      <items count="31">
        <item x="5"/>
        <item x="15"/>
        <item x="8"/>
        <item x="27"/>
        <item x="23"/>
        <item x="13"/>
        <item x="6"/>
        <item x="7"/>
        <item x="12"/>
        <item x="21"/>
        <item x="0"/>
        <item x="28"/>
        <item x="26"/>
        <item x="3"/>
        <item x="25"/>
        <item x="2"/>
        <item x="19"/>
        <item x="24"/>
        <item x="4"/>
        <item x="1"/>
        <item x="10"/>
        <item x="22"/>
        <item x="9"/>
        <item x="18"/>
        <item x="11"/>
        <item x="16"/>
        <item x="29"/>
        <item x="20"/>
        <item x="14"/>
        <item x="17"/>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6"/>
    <field x="3"/>
  </rowFields>
  <rowItems count="10">
    <i>
      <x/>
    </i>
    <i r="1">
      <x v="1"/>
    </i>
    <i>
      <x v="1"/>
    </i>
    <i r="1">
      <x v="2"/>
    </i>
    <i>
      <x v="2"/>
    </i>
    <i r="1">
      <x v="1"/>
    </i>
    <i>
      <x v="3"/>
    </i>
    <i r="1">
      <x v="4"/>
    </i>
    <i>
      <x v="4"/>
    </i>
    <i r="1">
      <x v="2"/>
    </i>
  </rowItems>
  <colItems count="1">
    <i/>
  </colItems>
  <dataFields count="1">
    <dataField name="Sum of Revenue" fld="6" baseField="0" baseItem="0"/>
  </dataFields>
  <pivotTableStyleInfo name="PivotStyleLight16" showRowHeaders="1" showColHeaders="1" showRowStripes="0" showColStripes="0" showLastColumn="1"/>
  <filters count="1">
    <filter fld="6"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65F9A1-BA50-4553-8CDC-5F68809EC34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J17:K29" firstHeaderRow="1" firstDataRow="1" firstDataCol="1"/>
  <pivotFields count="11">
    <pivotField numFmtId="164" showAll="0">
      <items count="28">
        <item x="21"/>
        <item x="13"/>
        <item x="22"/>
        <item x="10"/>
        <item x="24"/>
        <item x="14"/>
        <item x="3"/>
        <item x="7"/>
        <item x="18"/>
        <item x="0"/>
        <item x="6"/>
        <item x="20"/>
        <item x="15"/>
        <item x="9"/>
        <item x="1"/>
        <item x="12"/>
        <item x="8"/>
        <item x="4"/>
        <item x="11"/>
        <item x="17"/>
        <item x="19"/>
        <item x="23"/>
        <item x="16"/>
        <item x="26"/>
        <item x="5"/>
        <item x="2"/>
        <item x="25"/>
        <item t="default"/>
      </items>
    </pivotField>
    <pivotField showAll="0">
      <items count="5">
        <item x="3"/>
        <item x="2"/>
        <item x="1"/>
        <item x="0"/>
        <item t="default"/>
      </items>
    </pivotField>
    <pivotField showAll="0"/>
    <pivotField showAll="0">
      <items count="6">
        <item x="2"/>
        <item x="3"/>
        <item x="4"/>
        <item x="1"/>
        <item x="0"/>
        <item t="default"/>
      </items>
    </pivotField>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2">
    <i>
      <x v="1"/>
    </i>
    <i>
      <x v="2"/>
    </i>
    <i>
      <x v="3"/>
    </i>
    <i>
      <x v="4"/>
    </i>
    <i>
      <x v="5"/>
    </i>
    <i>
      <x v="6"/>
    </i>
    <i>
      <x v="7"/>
    </i>
    <i>
      <x v="8"/>
    </i>
    <i>
      <x v="9"/>
    </i>
    <i>
      <x v="10"/>
    </i>
    <i>
      <x v="11"/>
    </i>
    <i>
      <x v="12"/>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2E89AB-E51C-4086-A889-01AF005CB7BC}"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9:L34" firstHeaderRow="0" firstDataRow="1" firstDataCol="1"/>
  <pivotFields count="11">
    <pivotField showAll="0"/>
    <pivotField axis="axisRow" showAll="0">
      <items count="6">
        <item x="2"/>
        <item x="0"/>
        <item x="1"/>
        <item x="3"/>
        <item x="4"/>
        <item t="default"/>
      </items>
    </pivotField>
    <pivotField showAll="0"/>
    <pivotField dataField="1"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x="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5">
    <i>
      <x/>
    </i>
    <i>
      <x v="1"/>
    </i>
    <i>
      <x v="2"/>
    </i>
    <i>
      <x v="3"/>
    </i>
    <i>
      <x v="4"/>
    </i>
  </rowItems>
  <colFields count="1">
    <field x="-2"/>
  </colFields>
  <colItems count="2">
    <i>
      <x/>
    </i>
    <i i="1">
      <x v="1"/>
    </i>
  </colItems>
  <dataFields count="2">
    <dataField name="Average of Age" fld="3" subtotal="average" baseField="1" baseItem="0"/>
    <dataField name="Average of Salary" fld="7" subtotal="average" baseField="1" baseItem="0"/>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BA1CA9-2EE7-4B7B-AD3C-AB4D3DE2059D}" name="PivotTable9"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J10:L26" firstHeaderRow="1" firstDataRow="2" firstDataCol="1"/>
  <pivotFields count="11">
    <pivotField dataField="1" showAll="0"/>
    <pivotField axis="axisRow" showAll="0">
      <items count="6">
        <item x="2"/>
        <item x="0"/>
        <item x="1"/>
        <item x="3"/>
        <item x="4"/>
        <item t="default"/>
      </items>
    </pivotField>
    <pivotField axis="axisRow" showAll="0">
      <items count="3">
        <item x="0"/>
        <item x="1"/>
        <item t="default"/>
      </items>
    </pivotField>
    <pivotField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axis="axisCol"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1"/>
    <field x="2"/>
  </rowFields>
  <rowItems count="15">
    <i>
      <x/>
    </i>
    <i r="1">
      <x/>
    </i>
    <i r="1">
      <x v="1"/>
    </i>
    <i>
      <x v="1"/>
    </i>
    <i r="1">
      <x/>
    </i>
    <i r="1">
      <x v="1"/>
    </i>
    <i>
      <x v="2"/>
    </i>
    <i r="1">
      <x/>
    </i>
    <i r="1">
      <x v="1"/>
    </i>
    <i>
      <x v="3"/>
    </i>
    <i r="1">
      <x/>
    </i>
    <i r="1">
      <x v="1"/>
    </i>
    <i>
      <x v="4"/>
    </i>
    <i r="1">
      <x/>
    </i>
    <i r="1">
      <x v="1"/>
    </i>
  </rowItems>
  <colFields count="1">
    <field x="6"/>
  </colFields>
  <colItems count="2">
    <i>
      <x/>
    </i>
    <i>
      <x v="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1E707-D716-4DF2-BDC3-856C81E9E28A}"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K7" firstHeaderRow="1" firstDataRow="2" firstDataCol="1"/>
  <pivotFields count="11">
    <pivotField dataField="1" showAll="0"/>
    <pivotField axis="axisRow" showAll="0">
      <items count="6">
        <item x="2"/>
        <item x="0"/>
        <item x="1"/>
        <item x="3"/>
        <item x="4"/>
        <item t="default"/>
      </items>
    </pivotField>
    <pivotField showAll="0"/>
    <pivotField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axis="axisCol" showAll="0">
      <items count="3">
        <item x="1"/>
        <item h="1"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4">
    <i>
      <x v="1"/>
    </i>
    <i>
      <x v="2"/>
    </i>
    <i>
      <x v="3"/>
    </i>
    <i>
      <x v="4"/>
    </i>
  </rowItems>
  <colFields count="1">
    <field x="6"/>
  </colFields>
  <colItems count="1">
    <i>
      <x/>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68002D-BA9F-4EDD-8D01-56F6CB381226}"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N18:P24" firstHeaderRow="1" firstDataRow="2" firstDataCol="1"/>
  <pivotFields count="11">
    <pivotField dataField="1" showAll="0"/>
    <pivotField axis="axisRow" showAll="0">
      <items count="6">
        <item x="2"/>
        <item x="0"/>
        <item x="1"/>
        <item x="3"/>
        <item x="4"/>
        <item t="default"/>
      </items>
    </pivotField>
    <pivotField showAll="0"/>
    <pivotField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axis="axisCol"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5">
    <i>
      <x/>
    </i>
    <i>
      <x v="1"/>
    </i>
    <i>
      <x v="2"/>
    </i>
    <i>
      <x v="3"/>
    </i>
    <i>
      <x v="4"/>
    </i>
  </rowItems>
  <colFields count="1">
    <field x="6"/>
  </colFields>
  <colItems count="2">
    <i>
      <x/>
    </i>
    <i>
      <x v="1"/>
    </i>
  </colItems>
  <dataFields count="1">
    <dataField name="Count of Employee ID" fld="0"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64D35B-F6D1-4E35-85FB-088E3BCC0F29}"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N2:O4" firstHeaderRow="1" firstDataRow="1" firstDataCol="1"/>
  <pivotFields count="11">
    <pivotField showAll="0"/>
    <pivotField showAll="0">
      <items count="6">
        <item x="2"/>
        <item x="0"/>
        <item x="1"/>
        <item x="3"/>
        <item x="4"/>
        <item t="default"/>
      </items>
    </pivotField>
    <pivotField axis="axisRow" dataField="1" showAll="0">
      <items count="3">
        <item x="0"/>
        <item x="1"/>
        <item t="default"/>
      </items>
    </pivotField>
    <pivotField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showAll="0">
      <items count="3">
        <item x="1"/>
        <item h="1"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2">
    <i>
      <x/>
    </i>
    <i>
      <x v="1"/>
    </i>
  </rowItems>
  <colItems count="1">
    <i/>
  </colItems>
  <dataFields count="1">
    <dataField name="Count of Gender"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4940B4-9498-4B34-951B-3B35C6BD3499}"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37:L45" firstHeaderRow="1" firstDataRow="2" firstDataCol="1"/>
  <pivotFields count="11">
    <pivotField showAll="0"/>
    <pivotField showAll="0">
      <items count="6">
        <item x="2"/>
        <item x="0"/>
        <item x="1"/>
        <item x="3"/>
        <item x="4"/>
        <item t="default"/>
      </items>
    </pivotField>
    <pivotField showAll="0"/>
    <pivotField showAll="0"/>
    <pivotField numFmtId="164" showAll="0"/>
    <pivotField showAll="0">
      <items count="22">
        <item x="10"/>
        <item x="11"/>
        <item x="7"/>
        <item x="14"/>
        <item x="13"/>
        <item x="12"/>
        <item x="6"/>
        <item x="3"/>
        <item x="15"/>
        <item x="19"/>
        <item x="17"/>
        <item x="0"/>
        <item x="16"/>
        <item x="9"/>
        <item x="4"/>
        <item x="1"/>
        <item x="5"/>
        <item x="18"/>
        <item x="8"/>
        <item x="20"/>
        <item x="2"/>
        <item t="default"/>
      </items>
    </pivotField>
    <pivotField axis="axisCol" dataField="1"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0"/>
  </rowFields>
  <rowItems count="7">
    <i>
      <x/>
    </i>
    <i>
      <x v="1"/>
    </i>
    <i>
      <x v="2"/>
    </i>
    <i>
      <x v="3"/>
    </i>
    <i>
      <x v="4"/>
    </i>
    <i>
      <x v="5"/>
    </i>
    <i>
      <x v="6"/>
    </i>
  </rowItems>
  <colFields count="1">
    <field x="6"/>
  </colFields>
  <colItems count="2">
    <i>
      <x/>
    </i>
    <i>
      <x v="1"/>
    </i>
  </colItems>
  <dataFields count="1">
    <dataField name="Count of Status" fld="6" subtotal="count"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183AC6-E822-4E02-BBD2-10368BA0343F}" name="PivotTable19"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J15:L38" firstHeaderRow="0" firstDataRow="1" firstDataCol="1"/>
  <pivotFields count="9">
    <pivotField showAll="0"/>
    <pivotField showAll="0">
      <items count="4">
        <item x="0"/>
        <item x="1"/>
        <item x="2"/>
        <item t="default"/>
      </items>
    </pivotField>
    <pivotField showAll="0">
      <items count="4">
        <item x="0"/>
        <item x="1"/>
        <item x="2"/>
        <item t="default"/>
      </items>
    </pivotField>
    <pivotField showAll="0"/>
    <pivotField dataField="1" showAll="0"/>
    <pivotField dataField="1"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8"/>
  </rowFields>
  <rowItems count="23">
    <i>
      <x v="1"/>
    </i>
    <i>
      <x v="2"/>
    </i>
    <i>
      <x v="6"/>
    </i>
    <i>
      <x v="7"/>
    </i>
    <i>
      <x v="8"/>
    </i>
    <i>
      <x v="10"/>
    </i>
    <i>
      <x v="13"/>
    </i>
    <i>
      <x v="15"/>
    </i>
    <i>
      <x v="17"/>
    </i>
    <i>
      <x v="23"/>
    </i>
    <i>
      <x v="24"/>
    </i>
    <i>
      <x v="27"/>
    </i>
    <i>
      <x v="31"/>
    </i>
    <i>
      <x v="32"/>
    </i>
    <i>
      <x v="33"/>
    </i>
    <i>
      <x v="37"/>
    </i>
    <i>
      <x v="40"/>
    </i>
    <i>
      <x v="42"/>
    </i>
    <i>
      <x v="45"/>
    </i>
    <i>
      <x v="47"/>
    </i>
    <i>
      <x v="48"/>
    </i>
    <i>
      <x v="49"/>
    </i>
    <i>
      <x v="50"/>
    </i>
  </rowItems>
  <colFields count="1">
    <field x="-2"/>
  </colFields>
  <colItems count="2">
    <i>
      <x/>
    </i>
    <i i="1">
      <x v="1"/>
    </i>
  </colItems>
  <dataFields count="2">
    <dataField name="Sum of Quantity Sold" fld="4" baseField="0" baseItem="0"/>
    <dataField name="Sum of Quantity Purchased"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B1A8F8-FA3C-445B-8932-79A701B88B9E}" name="PivotTable1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9:K12" firstHeaderRow="1"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1"/>
  </rowFields>
  <rowItems count="3">
    <i>
      <x/>
    </i>
    <i>
      <x v="1"/>
    </i>
    <i>
      <x v="2"/>
    </i>
  </rowItems>
  <colItems count="1">
    <i/>
  </colItems>
  <dataFields count="1">
    <dataField name="Sum of Closing 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8314D2-A1B8-4159-83E9-9E62767BB3FF}" name="PivotTable1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J2:L5" firstHeaderRow="0"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dataField="1" showAll="0"/>
    <pivotField dataField="1"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1"/>
  </rowFields>
  <rowItems count="3">
    <i>
      <x/>
    </i>
    <i>
      <x v="1"/>
    </i>
    <i>
      <x v="2"/>
    </i>
  </rowItems>
  <colFields count="1">
    <field x="-2"/>
  </colFields>
  <colItems count="2">
    <i>
      <x/>
    </i>
    <i i="1">
      <x v="1"/>
    </i>
  </colItems>
  <dataFields count="2">
    <dataField name="Sum of Quantity Sold" fld="4" baseField="0" baseItem="0"/>
    <dataField name="Sum of Quantity Purchas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85300D-3CAF-45C3-AD32-B4CD846908E2}" name="PivotTable2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N2:P5" firstHeaderRow="0" firstDataRow="1" firstDataCol="1"/>
  <pivotFields count="9">
    <pivotField showAll="0"/>
    <pivotField axis="axisRow" showAll="0">
      <items count="4">
        <item x="0"/>
        <item x="1"/>
        <item x="2"/>
        <item t="default"/>
      </items>
    </pivotField>
    <pivotField showAll="0">
      <items count="4">
        <item x="0"/>
        <item x="1"/>
        <item x="2"/>
        <item t="default"/>
      </items>
    </pivotField>
    <pivotField dataField="1"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dataField="1"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1"/>
  </rowFields>
  <rowItems count="3">
    <i>
      <x/>
    </i>
    <i>
      <x v="1"/>
    </i>
    <i>
      <x v="2"/>
    </i>
  </rowItems>
  <colFields count="1">
    <field x="-2"/>
  </colFields>
  <colItems count="2">
    <i>
      <x/>
    </i>
    <i i="1">
      <x v="1"/>
    </i>
  </colItems>
  <dataFields count="2">
    <dataField name="Sum of Opening Stock" fld="3" baseField="0" baseItem="0"/>
    <dataField name="Sum of Closing Stock"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FB79DD-C3E7-4651-A2F6-8962D77A3D3D}" name="PivotTable2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2:S31" firstHeaderRow="1" firstDataRow="1" firstDataCol="1"/>
  <pivotFields count="9">
    <pivotField showAll="0"/>
    <pivotField showAll="0">
      <items count="4">
        <item x="0"/>
        <item x="1"/>
        <item x="2"/>
        <item t="default"/>
      </items>
    </pivotField>
    <pivotField showAll="0">
      <items count="4">
        <item x="0"/>
        <item x="1"/>
        <item x="2"/>
        <item t="default"/>
      </items>
    </pivotField>
    <pivotField showAll="0"/>
    <pivotField showAll="0"/>
    <pivotField showAll="0"/>
    <pivotField numFmtId="164" showAll="0">
      <items count="31">
        <item x="26"/>
        <item x="11"/>
        <item x="29"/>
        <item x="10"/>
        <item x="9"/>
        <item x="16"/>
        <item x="2"/>
        <item x="24"/>
        <item x="17"/>
        <item x="18"/>
        <item x="14"/>
        <item x="12"/>
        <item x="20"/>
        <item x="8"/>
        <item x="22"/>
        <item x="25"/>
        <item x="28"/>
        <item x="13"/>
        <item x="0"/>
        <item x="19"/>
        <item x="1"/>
        <item x="6"/>
        <item x="3"/>
        <item x="7"/>
        <item x="15"/>
        <item x="21"/>
        <item x="27"/>
        <item x="5"/>
        <item x="4"/>
        <item x="23"/>
        <item t="default"/>
      </items>
    </pivotField>
    <pivotField axis="axisRow" showAll="0">
      <items count="30">
        <item x="2"/>
        <item x="26"/>
        <item x="25"/>
        <item x="23"/>
        <item x="24"/>
        <item x="19"/>
        <item x="21"/>
        <item x="4"/>
        <item x="15"/>
        <item x="11"/>
        <item x="1"/>
        <item x="18"/>
        <item x="16"/>
        <item x="0"/>
        <item x="9"/>
        <item x="8"/>
        <item x="12"/>
        <item x="27"/>
        <item x="22"/>
        <item x="5"/>
        <item x="14"/>
        <item x="20"/>
        <item x="6"/>
        <item x="17"/>
        <item x="10"/>
        <item x="13"/>
        <item x="3"/>
        <item x="28"/>
        <item x="7"/>
        <item t="default"/>
      </items>
    </pivotField>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s>
  <rowFields count="1">
    <field x="7"/>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70F7148-0CD6-4290-A4A0-C396B254C2FD}" name="PivotTable22"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I2:K6" firstHeaderRow="0" firstDataRow="1" firstDataCol="1"/>
  <pivotFields count="8">
    <pivotField axis="axisRow" showAll="0">
      <items count="5">
        <item x="1"/>
        <item x="0"/>
        <item x="3"/>
        <item x="2"/>
        <item t="default"/>
      </items>
    </pivotField>
    <pivotField showAll="0"/>
    <pivotField dataField="1"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4">
    <i>
      <x/>
    </i>
    <i>
      <x v="1"/>
    </i>
    <i>
      <x v="2"/>
    </i>
    <i>
      <x v="3"/>
    </i>
  </rowItems>
  <colFields count="1">
    <field x="-2"/>
  </colFields>
  <colItems count="2">
    <i>
      <x/>
    </i>
    <i i="1">
      <x v="1"/>
    </i>
  </colItems>
  <dataFields count="2">
    <dataField name="Sum of Expense Amount" fld="2" baseField="0" baseItem="0"/>
    <dataField name="Sum of Bud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590A43-D2EB-4A6F-93DB-17F5A1FF02C2}" name="PivotTable26"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M2:N3" firstHeaderRow="0" firstDataRow="1" firstDataCol="0"/>
  <pivotFields count="8">
    <pivotField showAll="0">
      <items count="5">
        <item x="1"/>
        <item x="0"/>
        <item x="3"/>
        <item x="2"/>
        <item t="default"/>
      </items>
    </pivotField>
    <pivotField showAll="0"/>
    <pivotField dataField="1"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Expense Amount" fld="2" baseField="0" baseItem="0"/>
    <dataField name="Sum of Budge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F86511-3D00-45A3-8820-E97AC3AFCB19}" name="PivotTable25"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I31:J35" firstHeaderRow="1" firstDataRow="1" firstDataCol="1"/>
  <pivotFields count="8">
    <pivotField showAll="0">
      <items count="5">
        <item x="1"/>
        <item x="0"/>
        <item x="3"/>
        <item x="2"/>
        <item t="default"/>
      </items>
    </pivotField>
    <pivotField showAll="0">
      <items count="5">
        <item x="0"/>
        <item x="3"/>
        <item x="2"/>
        <item x="1"/>
        <item t="default"/>
      </items>
    </pivotField>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axis="axisRow" showAll="0">
      <items count="5">
        <item x="1"/>
        <item x="3"/>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x v="3"/>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FA6B78F-390F-4496-AFBA-99538AB0A2C0}" name="PivotTable24"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I16:J28" firstHeaderRow="1" firstDataRow="1" firstDataCol="1"/>
  <pivotFields count="8">
    <pivotField showAll="0">
      <items count="5">
        <item x="1"/>
        <item x="0"/>
        <item x="3"/>
        <item x="2"/>
        <item t="default"/>
      </items>
    </pivotField>
    <pivotField showAll="0">
      <items count="5">
        <item x="0"/>
        <item x="3"/>
        <item x="2"/>
        <item x="1"/>
        <item t="default"/>
      </items>
    </pivotField>
    <pivotField dataField="1" showAll="0"/>
    <pivotField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2">
    <i>
      <x v="1"/>
    </i>
    <i>
      <x v="2"/>
    </i>
    <i>
      <x v="3"/>
    </i>
    <i>
      <x v="4"/>
    </i>
    <i>
      <x v="5"/>
    </i>
    <i>
      <x v="6"/>
    </i>
    <i>
      <x v="7"/>
    </i>
    <i>
      <x v="8"/>
    </i>
    <i>
      <x v="9"/>
    </i>
    <i>
      <x v="10"/>
    </i>
    <i>
      <x v="11"/>
    </i>
    <i>
      <x v="12"/>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0095D2A-AC44-46BD-B484-51DE3B60102D}" name="PivotTable23" cacheId="3"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I9:J13" firstHeaderRow="1" firstDataRow="1" firstDataCol="1"/>
  <pivotFields count="8">
    <pivotField showAll="0">
      <items count="5">
        <item x="1"/>
        <item x="0"/>
        <item x="3"/>
        <item x="2"/>
        <item t="default"/>
      </items>
    </pivotField>
    <pivotField axis="axisRow" showAll="0">
      <items count="5">
        <item x="0"/>
        <item x="3"/>
        <item x="2"/>
        <item x="1"/>
        <item t="default"/>
      </items>
    </pivotField>
    <pivotField showAll="0"/>
    <pivotField dataField="1" showAll="0"/>
    <pivotField numFmtId="164" showAll="0">
      <items count="30">
        <item x="9"/>
        <item x="12"/>
        <item x="23"/>
        <item x="4"/>
        <item x="5"/>
        <item x="18"/>
        <item x="24"/>
        <item x="21"/>
        <item x="0"/>
        <item x="6"/>
        <item x="1"/>
        <item x="26"/>
        <item x="28"/>
        <item x="2"/>
        <item x="16"/>
        <item x="19"/>
        <item x="11"/>
        <item x="13"/>
        <item x="20"/>
        <item x="8"/>
        <item x="22"/>
        <item x="14"/>
        <item x="10"/>
        <item x="17"/>
        <item x="15"/>
        <item x="25"/>
        <item x="7"/>
        <item x="27"/>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x v="3"/>
    </i>
  </rowItems>
  <colItems count="1">
    <i/>
  </colItems>
  <dataFields count="1">
    <dataField name="Sum of Budget" fld="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2AC0450-4D10-4DE5-BF5B-CED1913D063E}" name="PivotTable31"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location ref="J33:K37" firstHeaderRow="1" firstDataRow="1" firstDataCol="1" rowPageCount="1" colPageCount="1"/>
  <pivotFields count="1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items count="5">
        <item x="1"/>
        <item x="3"/>
        <item x="2"/>
        <item x="0"/>
        <item t="default"/>
      </items>
    </pivotField>
    <pivotField showAll="0"/>
    <pivotField axis="axisPage" dataField="1"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1"/>
    </i>
    <i>
      <x v="2"/>
    </i>
    <i>
      <x v="3"/>
    </i>
    <i>
      <x v="4"/>
    </i>
  </rowItems>
  <colItems count="1">
    <i/>
  </colItems>
  <pageFields count="1">
    <pageField fld="6" item="0" hier="-1"/>
  </pageFields>
  <dataFields count="1">
    <dataField name="Count of Delivery Status" fld="6" subtotal="count" baseField="0" baseItem="0"/>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594D7E0-4B01-4A76-AF88-5665F7EE419E}" name="PivotTable30"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location ref="J18:L28" firstHeaderRow="0" firstDataRow="1" firstDataCol="1"/>
  <pivotFields count="10">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items count="5">
        <item x="1"/>
        <item x="3"/>
        <item x="2"/>
        <item x="0"/>
        <item t="default"/>
      </items>
    </pivotField>
    <pivotField dataField="1" showAll="0"/>
    <pivotField showAll="0">
      <items count="3">
        <item x="1"/>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0">
    <i>
      <x v="2"/>
    </i>
    <i>
      <x v="3"/>
    </i>
    <i>
      <x v="4"/>
    </i>
    <i>
      <x v="5"/>
    </i>
    <i>
      <x v="6"/>
    </i>
    <i>
      <x v="7"/>
    </i>
    <i>
      <x v="8"/>
    </i>
    <i>
      <x v="9"/>
    </i>
    <i>
      <x v="10"/>
    </i>
    <i>
      <x v="11"/>
    </i>
  </rowItems>
  <colFields count="1">
    <field x="-2"/>
  </colFields>
  <colItems count="2">
    <i>
      <x/>
    </i>
    <i i="1">
      <x v="1"/>
    </i>
  </colItems>
  <dataFields count="2">
    <dataField name="Count of Order ID" fld="0" subtotal="count" baseField="0" baseItem="0"/>
    <dataField name="Sum of Order Value" fld="5" baseField="0" baseItem="0"/>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9A8F2C2-B6B2-4E56-A6B7-4523DF27AE55}" name="PivotTable29"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J11:K15" firstHeaderRow="1" firstDataRow="1" firstDataCol="1"/>
  <pivotFields count="1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axis="axisRow" showAll="0">
      <items count="5">
        <item x="1"/>
        <item x="3"/>
        <item x="2"/>
        <item x="0"/>
        <item t="default"/>
      </items>
    </pivotField>
    <pivotField showAll="0"/>
    <pivotField showAll="0">
      <items count="3">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x v="3"/>
    </i>
  </rowItems>
  <colItems count="1">
    <i/>
  </colItems>
  <dataFields count="1">
    <dataField name="Average of Delivery Duration (Days)" fld="7" subtotal="average" baseField="4"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11713B1-091A-474A-BCF2-744D40CF2353}" name="PivotTable28" cacheId="4"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J2:L8" firstHeaderRow="1" firstDataRow="2" firstDataCol="1"/>
  <pivotFields count="10">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64" showAll="0">
      <items count="31">
        <item x="17"/>
        <item x="2"/>
        <item x="27"/>
        <item x="15"/>
        <item x="21"/>
        <item x="0"/>
        <item x="24"/>
        <item x="1"/>
        <item x="10"/>
        <item x="23"/>
        <item x="26"/>
        <item x="20"/>
        <item x="6"/>
        <item x="8"/>
        <item x="12"/>
        <item x="16"/>
        <item x="22"/>
        <item x="7"/>
        <item x="13"/>
        <item x="18"/>
        <item x="9"/>
        <item x="3"/>
        <item x="11"/>
        <item x="25"/>
        <item x="14"/>
        <item x="4"/>
        <item x="28"/>
        <item x="5"/>
        <item x="29"/>
        <item x="19"/>
        <item t="default"/>
      </items>
    </pivotField>
    <pivotField numFmtId="164" showAll="0"/>
    <pivotField showAll="0"/>
    <pivotField showAll="0"/>
    <pivotField axis="axisCol" dataField="1" showAll="0">
      <items count="3">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x v="4"/>
    </i>
  </rowItems>
  <colFields count="1">
    <field x="6"/>
  </colFields>
  <colItems count="2">
    <i>
      <x/>
    </i>
    <i>
      <x v="1"/>
    </i>
  </colItems>
  <dataFields count="1">
    <dataField name="Count of Delivery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214609-7169-4EA1-867A-999A187D4A49}" sourceName="Region">
  <pivotTables>
    <pivotTable tabId="1" name="PivotTable7"/>
    <pivotTable tabId="1" name="PivotTable2"/>
    <pivotTable tabId="1" name="PivotTable4"/>
    <pivotTable tabId="1" name="PivotTable5"/>
  </pivotTables>
  <data>
    <tabular pivotCacheId="1137957483">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EE2D8D-8EC9-4F6F-9C08-CBAEA7875758}" sourceName="Product">
  <pivotTables>
    <pivotTable tabId="1" name="PivotTable7"/>
    <pivotTable tabId="1" name="PivotTable2"/>
    <pivotTable tabId="1" name="PivotTable4"/>
    <pivotTable tabId="1" name="PivotTable5"/>
  </pivotTables>
  <data>
    <tabular pivotCacheId="1137957483">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99D0422F-FFF6-4C91-A7D3-BBD12C4C54EA}" sourceName="Warehouse">
  <pivotTables>
    <pivotTable tabId="3" name="PivotTable19"/>
    <pivotTable tabId="3" name="PivotTable17"/>
    <pivotTable tabId="3" name="PivotTable18"/>
    <pivotTable tabId="3" name="PivotTable20"/>
    <pivotTable tabId="3" name="PivotTable21"/>
  </pivotTables>
  <data>
    <tabular pivotCacheId="91274033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8155D25-FA44-494B-9A80-4077F47EBC36}" sourceName="Product">
  <pivotTables>
    <pivotTable tabId="5" name="PivotTable29"/>
  </pivotTables>
  <data>
    <tabular pivotCacheId="1175383933">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1A4F3D9-8917-446D-B449-0902659DE446}" sourceName="Delivery Status">
  <pivotTables>
    <pivotTable tabId="5" name="PivotTable29"/>
  </pivotTables>
  <data>
    <tabular pivotCacheId="117538393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2BDB76D-4C8B-49A4-BF76-6F4406A34377}" cache="Slicer_Region" caption="Region" rowHeight="234950"/>
  <slicer name="Product" xr10:uid="{539C525B-3139-4712-8389-51D2D25DD62F}"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04E781FE-C923-452F-8244-F0D6CDD98A0C}" cache="Slicer_Warehouse" caption="Warehous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DC46247-1673-41FA-BD1D-69B380C57E3D}" cache="Slicer_Product1" caption="Product" rowHeight="234950"/>
  <slicer name="Delivery Status" xr10:uid="{DC94A703-8635-442E-8A15-01BDE283EB7C}" cache="Slicer_Delivery_Status" caption="Delivery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C4DEB6A-B236-4254-8564-C8657BDB0804}" sourceName="Date">
  <pivotTables>
    <pivotTable tabId="4" name="PivotTable22"/>
    <pivotTable tabId="4" name="PivotTable23"/>
    <pivotTable tabId="4" name="PivotTable24"/>
    <pivotTable tabId="4" name="PivotTable25"/>
    <pivotTable tabId="4" name="PivotTable26"/>
  </pivotTables>
  <state minimalRefreshVersion="6" lastRefreshVersion="6" pivotCacheId="136139283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F140316-4A76-4863-A5F8-083A5B001CDA}" cache="NativeTimeline_Date" caption="Date" level="2" selectionLevel="2" scrollPosition="2023-06-06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3.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microsoft.com/office/2011/relationships/timeline" Target="../timelines/timeline1.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4.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3.xml"/><Relationship Id="rId5" Type="http://schemas.openxmlformats.org/officeDocument/2006/relationships/drawing" Target="../drawings/drawing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zoomScale="70" zoomScaleNormal="70" workbookViewId="0">
      <selection activeCell="T19" sqref="T19"/>
    </sheetView>
  </sheetViews>
  <sheetFormatPr defaultRowHeight="14.4" x14ac:dyDescent="0.3"/>
  <cols>
    <col min="1" max="1" width="19.88671875" customWidth="1"/>
    <col min="10" max="10" width="13.88671875" bestFit="1" customWidth="1"/>
    <col min="11" max="11" width="15.33203125" bestFit="1" customWidth="1"/>
    <col min="12" max="12" width="12.44140625" bestFit="1" customWidth="1"/>
    <col min="13" max="13" width="8.21875" customWidth="1"/>
    <col min="14" max="14" width="23.21875" bestFit="1" customWidth="1"/>
    <col min="15" max="15" width="6.33203125" bestFit="1" customWidth="1"/>
    <col min="16" max="17" width="6" bestFit="1" customWidth="1"/>
    <col min="18" max="18" width="10.77734375" bestFit="1" customWidth="1"/>
    <col min="19" max="19" width="6.109375" customWidth="1"/>
  </cols>
  <sheetData>
    <row r="1" spans="1:14" x14ac:dyDescent="0.3">
      <c r="A1" s="1" t="s">
        <v>0</v>
      </c>
      <c r="B1" s="1" t="s">
        <v>1</v>
      </c>
      <c r="C1" s="1" t="s">
        <v>2</v>
      </c>
      <c r="D1" s="1" t="s">
        <v>3</v>
      </c>
      <c r="E1" s="1" t="s">
        <v>4</v>
      </c>
      <c r="F1" s="1" t="s">
        <v>5</v>
      </c>
      <c r="G1" s="7" t="s">
        <v>6</v>
      </c>
      <c r="H1" s="1" t="s">
        <v>7</v>
      </c>
      <c r="J1" t="s">
        <v>175</v>
      </c>
      <c r="N1" t="s">
        <v>179</v>
      </c>
    </row>
    <row r="2" spans="1:14" x14ac:dyDescent="0.3">
      <c r="A2" s="5">
        <v>45019</v>
      </c>
      <c r="B2" s="6" t="s">
        <v>8</v>
      </c>
      <c r="C2" s="6" t="s">
        <v>9</v>
      </c>
      <c r="D2" s="6" t="s">
        <v>10</v>
      </c>
      <c r="E2" s="6">
        <v>12</v>
      </c>
      <c r="F2" s="6">
        <v>809</v>
      </c>
      <c r="G2" s="6">
        <v>9708</v>
      </c>
      <c r="H2" s="6">
        <v>1941.6</v>
      </c>
      <c r="J2" s="2" t="s">
        <v>184</v>
      </c>
      <c r="K2" t="s">
        <v>183</v>
      </c>
    </row>
    <row r="3" spans="1:14" x14ac:dyDescent="0.3">
      <c r="A3" s="5">
        <v>45109</v>
      </c>
      <c r="B3" s="6" t="s">
        <v>8</v>
      </c>
      <c r="C3" s="6" t="s">
        <v>11</v>
      </c>
      <c r="D3" s="6" t="s">
        <v>10</v>
      </c>
      <c r="E3" s="6">
        <v>10</v>
      </c>
      <c r="F3" s="6">
        <v>418</v>
      </c>
      <c r="G3" s="6">
        <v>4180</v>
      </c>
      <c r="H3" s="6">
        <v>836</v>
      </c>
      <c r="J3" s="3" t="s">
        <v>19</v>
      </c>
      <c r="K3">
        <v>45230</v>
      </c>
    </row>
    <row r="4" spans="1:14" x14ac:dyDescent="0.3">
      <c r="A4" s="5">
        <v>45267</v>
      </c>
      <c r="B4" s="6" t="s">
        <v>12</v>
      </c>
      <c r="C4" s="6" t="s">
        <v>13</v>
      </c>
      <c r="D4" s="6" t="s">
        <v>14</v>
      </c>
      <c r="E4" s="6">
        <v>12</v>
      </c>
      <c r="F4" s="6">
        <v>528</v>
      </c>
      <c r="G4" s="6">
        <v>6336</v>
      </c>
      <c r="H4" s="6">
        <v>1267.2</v>
      </c>
      <c r="J4" s="3" t="s">
        <v>15</v>
      </c>
      <c r="K4">
        <v>55780</v>
      </c>
    </row>
    <row r="5" spans="1:14" x14ac:dyDescent="0.3">
      <c r="A5" s="5">
        <v>44998</v>
      </c>
      <c r="B5" s="6" t="s">
        <v>15</v>
      </c>
      <c r="C5" s="6" t="s">
        <v>16</v>
      </c>
      <c r="D5" s="6" t="s">
        <v>17</v>
      </c>
      <c r="E5" s="6">
        <v>10</v>
      </c>
      <c r="F5" s="6">
        <v>761</v>
      </c>
      <c r="G5" s="6">
        <v>7610</v>
      </c>
      <c r="H5" s="6">
        <v>1522</v>
      </c>
      <c r="J5" s="3" t="s">
        <v>12</v>
      </c>
      <c r="K5">
        <v>90109</v>
      </c>
    </row>
    <row r="6" spans="1:14" x14ac:dyDescent="0.3">
      <c r="A6" s="5">
        <v>45149</v>
      </c>
      <c r="B6" s="6" t="s">
        <v>12</v>
      </c>
      <c r="C6" s="6" t="s">
        <v>13</v>
      </c>
      <c r="D6" s="6" t="s">
        <v>14</v>
      </c>
      <c r="E6" s="6">
        <v>20</v>
      </c>
      <c r="F6" s="6">
        <v>216</v>
      </c>
      <c r="G6" s="6">
        <v>4320</v>
      </c>
      <c r="H6" s="6">
        <v>864</v>
      </c>
      <c r="J6" s="3" t="s">
        <v>8</v>
      </c>
      <c r="K6">
        <v>30719</v>
      </c>
    </row>
    <row r="7" spans="1:14" x14ac:dyDescent="0.3">
      <c r="A7" s="5">
        <v>45249</v>
      </c>
      <c r="B7" s="6" t="s">
        <v>12</v>
      </c>
      <c r="C7" s="6" t="s">
        <v>13</v>
      </c>
      <c r="D7" s="6" t="s">
        <v>18</v>
      </c>
      <c r="E7" s="6">
        <v>20</v>
      </c>
      <c r="F7" s="6">
        <v>975</v>
      </c>
      <c r="G7" s="6">
        <v>19500</v>
      </c>
      <c r="H7" s="6">
        <v>3900</v>
      </c>
    </row>
    <row r="8" spans="1:14" x14ac:dyDescent="0.3">
      <c r="A8" s="5">
        <v>45024</v>
      </c>
      <c r="B8" s="6" t="s">
        <v>15</v>
      </c>
      <c r="C8" s="6" t="s">
        <v>11</v>
      </c>
      <c r="D8" s="6" t="s">
        <v>10</v>
      </c>
      <c r="E8" s="6">
        <v>14</v>
      </c>
      <c r="F8" s="6">
        <v>779</v>
      </c>
      <c r="G8" s="6">
        <v>10906</v>
      </c>
      <c r="H8" s="6">
        <v>2181.1999999999998</v>
      </c>
      <c r="J8" t="s">
        <v>176</v>
      </c>
    </row>
    <row r="9" spans="1:14" x14ac:dyDescent="0.3">
      <c r="A9" s="5">
        <v>45019</v>
      </c>
      <c r="B9" s="6" t="s">
        <v>8</v>
      </c>
      <c r="C9" s="6" t="s">
        <v>9</v>
      </c>
      <c r="D9" s="6" t="s">
        <v>14</v>
      </c>
      <c r="E9" s="6">
        <v>17</v>
      </c>
      <c r="F9" s="6">
        <v>637</v>
      </c>
      <c r="G9" s="6">
        <v>10829</v>
      </c>
      <c r="H9" s="6">
        <v>2165.8000000000002</v>
      </c>
      <c r="J9" s="2" t="s">
        <v>184</v>
      </c>
      <c r="K9" t="s">
        <v>183</v>
      </c>
      <c r="L9" t="s">
        <v>185</v>
      </c>
    </row>
    <row r="10" spans="1:14" x14ac:dyDescent="0.3">
      <c r="A10" s="5">
        <v>45008</v>
      </c>
      <c r="B10" s="6" t="s">
        <v>15</v>
      </c>
      <c r="C10" s="6" t="s">
        <v>13</v>
      </c>
      <c r="D10" s="6" t="s">
        <v>18</v>
      </c>
      <c r="E10" s="6">
        <v>19</v>
      </c>
      <c r="F10" s="6">
        <v>877</v>
      </c>
      <c r="G10" s="6">
        <v>16663</v>
      </c>
      <c r="H10" s="6">
        <v>3332.6</v>
      </c>
      <c r="J10" s="3" t="s">
        <v>11</v>
      </c>
      <c r="K10">
        <v>32796</v>
      </c>
      <c r="L10">
        <v>6559.2000000000007</v>
      </c>
    </row>
    <row r="11" spans="1:14" x14ac:dyDescent="0.3">
      <c r="A11" s="5">
        <v>45139</v>
      </c>
      <c r="B11" s="6" t="s">
        <v>19</v>
      </c>
      <c r="C11" s="6" t="s">
        <v>11</v>
      </c>
      <c r="D11" s="6" t="s">
        <v>10</v>
      </c>
      <c r="E11" s="6">
        <v>6</v>
      </c>
      <c r="F11" s="6">
        <v>579</v>
      </c>
      <c r="G11" s="6">
        <v>3474</v>
      </c>
      <c r="H11" s="6">
        <v>694.80000000000007</v>
      </c>
      <c r="J11" s="3" t="s">
        <v>9</v>
      </c>
      <c r="K11">
        <v>57952</v>
      </c>
      <c r="L11">
        <v>11590.4</v>
      </c>
    </row>
    <row r="12" spans="1:14" x14ac:dyDescent="0.3">
      <c r="A12" s="5">
        <v>45106</v>
      </c>
      <c r="B12" s="6" t="s">
        <v>15</v>
      </c>
      <c r="C12" s="6" t="s">
        <v>16</v>
      </c>
      <c r="D12" s="6" t="s">
        <v>18</v>
      </c>
      <c r="E12" s="6">
        <v>4</v>
      </c>
      <c r="F12" s="6">
        <v>945</v>
      </c>
      <c r="G12" s="6">
        <v>3780</v>
      </c>
      <c r="H12" s="6">
        <v>756</v>
      </c>
      <c r="J12" s="3" t="s">
        <v>20</v>
      </c>
      <c r="K12">
        <v>11790</v>
      </c>
      <c r="L12">
        <v>2358</v>
      </c>
    </row>
    <row r="13" spans="1:14" x14ac:dyDescent="0.3">
      <c r="A13" s="5">
        <v>44969</v>
      </c>
      <c r="B13" s="6" t="s">
        <v>8</v>
      </c>
      <c r="C13" s="6" t="s">
        <v>11</v>
      </c>
      <c r="D13" s="6" t="s">
        <v>18</v>
      </c>
      <c r="E13" s="6">
        <v>7</v>
      </c>
      <c r="F13" s="6">
        <v>312</v>
      </c>
      <c r="G13" s="6">
        <v>2184</v>
      </c>
      <c r="H13" s="6">
        <v>436.8</v>
      </c>
      <c r="J13" s="3" t="s">
        <v>16</v>
      </c>
      <c r="K13">
        <v>15208</v>
      </c>
      <c r="L13">
        <v>3041.6</v>
      </c>
    </row>
    <row r="14" spans="1:14" x14ac:dyDescent="0.3">
      <c r="A14" s="5">
        <v>45155</v>
      </c>
      <c r="B14" s="6" t="s">
        <v>19</v>
      </c>
      <c r="C14" s="6" t="s">
        <v>20</v>
      </c>
      <c r="D14" s="6" t="s">
        <v>14</v>
      </c>
      <c r="E14" s="6">
        <v>20</v>
      </c>
      <c r="F14" s="6">
        <v>541</v>
      </c>
      <c r="G14" s="6">
        <v>10820</v>
      </c>
      <c r="H14" s="6">
        <v>2164</v>
      </c>
      <c r="J14" s="3" t="s">
        <v>13</v>
      </c>
      <c r="K14">
        <v>104092</v>
      </c>
      <c r="L14">
        <v>20818.400000000001</v>
      </c>
    </row>
    <row r="15" spans="1:14" x14ac:dyDescent="0.3">
      <c r="A15" s="5">
        <v>45116</v>
      </c>
      <c r="B15" s="6" t="s">
        <v>19</v>
      </c>
      <c r="C15" s="6" t="s">
        <v>9</v>
      </c>
      <c r="D15" s="6" t="s">
        <v>21</v>
      </c>
      <c r="E15" s="6">
        <v>20</v>
      </c>
      <c r="F15" s="6">
        <v>566</v>
      </c>
      <c r="G15" s="6">
        <v>11320</v>
      </c>
      <c r="H15" s="6">
        <v>2264</v>
      </c>
      <c r="N15" t="s">
        <v>180</v>
      </c>
    </row>
    <row r="16" spans="1:14" x14ac:dyDescent="0.3">
      <c r="A16" s="5">
        <v>44954</v>
      </c>
      <c r="B16" s="6" t="s">
        <v>15</v>
      </c>
      <c r="C16" s="6" t="s">
        <v>9</v>
      </c>
      <c r="D16" s="6" t="s">
        <v>21</v>
      </c>
      <c r="E16" s="6">
        <v>1</v>
      </c>
      <c r="F16" s="6">
        <v>995</v>
      </c>
      <c r="G16" s="6">
        <v>995</v>
      </c>
      <c r="H16" s="6">
        <v>199</v>
      </c>
      <c r="J16" t="s">
        <v>177</v>
      </c>
    </row>
    <row r="17" spans="1:13" x14ac:dyDescent="0.3">
      <c r="A17" s="5">
        <v>44972</v>
      </c>
      <c r="B17" s="6" t="s">
        <v>12</v>
      </c>
      <c r="C17" s="6" t="s">
        <v>9</v>
      </c>
      <c r="D17" s="6" t="s">
        <v>21</v>
      </c>
      <c r="E17" s="6">
        <v>20</v>
      </c>
      <c r="F17" s="6">
        <v>877</v>
      </c>
      <c r="G17" s="6">
        <v>17540</v>
      </c>
      <c r="H17" s="6">
        <v>3508</v>
      </c>
      <c r="J17" s="2" t="s">
        <v>184</v>
      </c>
      <c r="K17" t="s">
        <v>183</v>
      </c>
    </row>
    <row r="18" spans="1:13" x14ac:dyDescent="0.3">
      <c r="A18" s="5">
        <v>45049</v>
      </c>
      <c r="B18" s="6" t="s">
        <v>15</v>
      </c>
      <c r="C18" s="6" t="s">
        <v>11</v>
      </c>
      <c r="D18" s="6" t="s">
        <v>10</v>
      </c>
      <c r="E18" s="6">
        <v>4</v>
      </c>
      <c r="F18" s="6">
        <v>545</v>
      </c>
      <c r="G18" s="6">
        <v>2180</v>
      </c>
      <c r="H18" s="6">
        <v>436</v>
      </c>
      <c r="J18" s="3" t="s">
        <v>186</v>
      </c>
      <c r="K18">
        <v>12630</v>
      </c>
    </row>
    <row r="19" spans="1:13" x14ac:dyDescent="0.3">
      <c r="A19" s="5">
        <v>45116</v>
      </c>
      <c r="B19" s="6" t="s">
        <v>19</v>
      </c>
      <c r="C19" s="6" t="s">
        <v>20</v>
      </c>
      <c r="D19" s="6" t="s">
        <v>18</v>
      </c>
      <c r="E19" s="6">
        <v>1</v>
      </c>
      <c r="F19" s="6">
        <v>970</v>
      </c>
      <c r="G19" s="6">
        <v>970</v>
      </c>
      <c r="H19" s="6">
        <v>194</v>
      </c>
      <c r="J19" s="3" t="s">
        <v>187</v>
      </c>
      <c r="K19">
        <v>32151</v>
      </c>
    </row>
    <row r="20" spans="1:13" x14ac:dyDescent="0.3">
      <c r="A20" s="5">
        <v>45202</v>
      </c>
      <c r="B20" s="6" t="s">
        <v>8</v>
      </c>
      <c r="C20" s="6" t="s">
        <v>16</v>
      </c>
      <c r="D20" s="6" t="s">
        <v>17</v>
      </c>
      <c r="E20" s="6">
        <v>10</v>
      </c>
      <c r="F20" s="6">
        <v>267</v>
      </c>
      <c r="G20" s="6">
        <v>2670</v>
      </c>
      <c r="H20" s="6">
        <v>534</v>
      </c>
      <c r="J20" s="3" t="s">
        <v>188</v>
      </c>
      <c r="K20">
        <v>24273</v>
      </c>
    </row>
    <row r="21" spans="1:13" x14ac:dyDescent="0.3">
      <c r="A21" s="5">
        <v>45170</v>
      </c>
      <c r="B21" s="6" t="s">
        <v>15</v>
      </c>
      <c r="C21" s="6" t="s">
        <v>13</v>
      </c>
      <c r="D21" s="6" t="s">
        <v>21</v>
      </c>
      <c r="E21" s="6">
        <v>17</v>
      </c>
      <c r="F21" s="6">
        <v>318</v>
      </c>
      <c r="G21" s="6">
        <v>5406</v>
      </c>
      <c r="H21" s="6">
        <v>1081.2</v>
      </c>
      <c r="J21" s="3" t="s">
        <v>189</v>
      </c>
      <c r="K21">
        <v>36244</v>
      </c>
    </row>
    <row r="22" spans="1:13" x14ac:dyDescent="0.3">
      <c r="A22" s="5">
        <v>45017</v>
      </c>
      <c r="B22" s="6" t="s">
        <v>8</v>
      </c>
      <c r="C22" s="6" t="s">
        <v>16</v>
      </c>
      <c r="D22" s="6" t="s">
        <v>10</v>
      </c>
      <c r="E22" s="6">
        <v>7</v>
      </c>
      <c r="F22" s="6">
        <v>164</v>
      </c>
      <c r="G22" s="6">
        <v>1148</v>
      </c>
      <c r="H22" s="6">
        <v>229.6</v>
      </c>
      <c r="J22" s="3" t="s">
        <v>190</v>
      </c>
      <c r="K22">
        <v>2180</v>
      </c>
    </row>
    <row r="23" spans="1:13" x14ac:dyDescent="0.3">
      <c r="A23" s="5">
        <v>45177</v>
      </c>
      <c r="B23" s="6" t="s">
        <v>12</v>
      </c>
      <c r="C23" s="6" t="s">
        <v>11</v>
      </c>
      <c r="D23" s="6" t="s">
        <v>21</v>
      </c>
      <c r="E23" s="6">
        <v>16</v>
      </c>
      <c r="F23" s="6">
        <v>617</v>
      </c>
      <c r="G23" s="6">
        <v>9872</v>
      </c>
      <c r="H23" s="6">
        <v>1974.4</v>
      </c>
      <c r="J23" s="3" t="s">
        <v>191</v>
      </c>
      <c r="K23">
        <v>3780</v>
      </c>
    </row>
    <row r="24" spans="1:13" x14ac:dyDescent="0.3">
      <c r="A24" s="5">
        <v>45046</v>
      </c>
      <c r="B24" s="6" t="s">
        <v>12</v>
      </c>
      <c r="C24" s="6" t="s">
        <v>13</v>
      </c>
      <c r="D24" s="6" t="s">
        <v>10</v>
      </c>
      <c r="E24" s="6">
        <v>13</v>
      </c>
      <c r="F24" s="6">
        <v>281</v>
      </c>
      <c r="G24" s="6">
        <v>3653</v>
      </c>
      <c r="H24" s="6">
        <v>730.6</v>
      </c>
      <c r="J24" s="3" t="s">
        <v>192</v>
      </c>
      <c r="K24">
        <v>16470</v>
      </c>
    </row>
    <row r="25" spans="1:13" x14ac:dyDescent="0.3">
      <c r="A25" s="5">
        <v>44952</v>
      </c>
      <c r="B25" s="6" t="s">
        <v>12</v>
      </c>
      <c r="C25" s="6" t="s">
        <v>13</v>
      </c>
      <c r="D25" s="6" t="s">
        <v>21</v>
      </c>
      <c r="E25" s="6">
        <v>13</v>
      </c>
      <c r="F25" s="6">
        <v>895</v>
      </c>
      <c r="G25" s="6">
        <v>11635</v>
      </c>
      <c r="H25" s="6">
        <v>2327</v>
      </c>
      <c r="J25" s="3" t="s">
        <v>193</v>
      </c>
      <c r="K25">
        <v>18614</v>
      </c>
    </row>
    <row r="26" spans="1:13" x14ac:dyDescent="0.3">
      <c r="A26" s="5">
        <v>44963</v>
      </c>
      <c r="B26" s="6" t="s">
        <v>19</v>
      </c>
      <c r="C26" s="6" t="s">
        <v>13</v>
      </c>
      <c r="D26" s="6" t="s">
        <v>10</v>
      </c>
      <c r="E26" s="6">
        <v>10</v>
      </c>
      <c r="F26" s="6">
        <v>457</v>
      </c>
      <c r="G26" s="6">
        <v>4570</v>
      </c>
      <c r="H26" s="6">
        <v>914</v>
      </c>
      <c r="J26" s="3" t="s">
        <v>194</v>
      </c>
      <c r="K26">
        <v>24674</v>
      </c>
    </row>
    <row r="27" spans="1:13" x14ac:dyDescent="0.3">
      <c r="A27" s="5">
        <v>45178</v>
      </c>
      <c r="B27" s="6" t="s">
        <v>12</v>
      </c>
      <c r="C27" s="6" t="s">
        <v>9</v>
      </c>
      <c r="D27" s="6" t="s">
        <v>17</v>
      </c>
      <c r="E27" s="6">
        <v>8</v>
      </c>
      <c r="F27" s="6">
        <v>945</v>
      </c>
      <c r="G27" s="6">
        <v>7560</v>
      </c>
      <c r="H27" s="6">
        <v>1512</v>
      </c>
      <c r="J27" s="3" t="s">
        <v>195</v>
      </c>
      <c r="K27">
        <v>2670</v>
      </c>
    </row>
    <row r="28" spans="1:13" x14ac:dyDescent="0.3">
      <c r="A28" s="5">
        <v>44970</v>
      </c>
      <c r="B28" s="6" t="s">
        <v>12</v>
      </c>
      <c r="C28" s="6" t="s">
        <v>13</v>
      </c>
      <c r="D28" s="6" t="s">
        <v>18</v>
      </c>
      <c r="E28" s="6">
        <v>9</v>
      </c>
      <c r="F28" s="6">
        <v>873</v>
      </c>
      <c r="G28" s="6">
        <v>7857</v>
      </c>
      <c r="H28" s="6">
        <v>1571.4</v>
      </c>
      <c r="J28" s="3" t="s">
        <v>196</v>
      </c>
      <c r="K28">
        <v>27740</v>
      </c>
    </row>
    <row r="29" spans="1:13" x14ac:dyDescent="0.3">
      <c r="A29" s="5">
        <v>45282</v>
      </c>
      <c r="B29" s="6" t="s">
        <v>19</v>
      </c>
      <c r="C29" s="6" t="s">
        <v>13</v>
      </c>
      <c r="D29" s="6" t="s">
        <v>10</v>
      </c>
      <c r="E29" s="6">
        <v>17</v>
      </c>
      <c r="F29" s="6">
        <v>828</v>
      </c>
      <c r="G29" s="6">
        <v>14076</v>
      </c>
      <c r="H29" s="6">
        <v>2815.2</v>
      </c>
      <c r="J29" s="3" t="s">
        <v>197</v>
      </c>
      <c r="K29">
        <v>20412</v>
      </c>
    </row>
    <row r="30" spans="1:13" x14ac:dyDescent="0.3">
      <c r="A30" s="5">
        <v>45247</v>
      </c>
      <c r="B30" s="6" t="s">
        <v>15</v>
      </c>
      <c r="C30" s="6" t="s">
        <v>13</v>
      </c>
      <c r="D30" s="6" t="s">
        <v>18</v>
      </c>
      <c r="E30" s="6">
        <v>16</v>
      </c>
      <c r="F30" s="6">
        <v>515</v>
      </c>
      <c r="G30" s="6">
        <v>8240</v>
      </c>
      <c r="H30" s="6">
        <v>1648</v>
      </c>
    </row>
    <row r="31" spans="1:13" x14ac:dyDescent="0.3">
      <c r="A31" s="5">
        <v>45177</v>
      </c>
      <c r="B31" s="6" t="s">
        <v>12</v>
      </c>
      <c r="C31" s="6" t="s">
        <v>13</v>
      </c>
      <c r="D31" s="6" t="s">
        <v>14</v>
      </c>
      <c r="E31" s="6">
        <v>2</v>
      </c>
      <c r="F31" s="6">
        <v>918</v>
      </c>
      <c r="G31" s="6">
        <v>1836</v>
      </c>
      <c r="H31" s="6">
        <v>367.2</v>
      </c>
      <c r="J31" t="s">
        <v>178</v>
      </c>
      <c r="M31" t="s">
        <v>181</v>
      </c>
    </row>
    <row r="32" spans="1:13" x14ac:dyDescent="0.3">
      <c r="J32" s="2" t="s">
        <v>184</v>
      </c>
      <c r="K32" t="s">
        <v>183</v>
      </c>
    </row>
    <row r="33" spans="10:11" x14ac:dyDescent="0.3">
      <c r="J33" s="3">
        <v>19500</v>
      </c>
      <c r="K33">
        <v>19500</v>
      </c>
    </row>
    <row r="34" spans="10:11" x14ac:dyDescent="0.3">
      <c r="J34" s="4" t="s">
        <v>18</v>
      </c>
      <c r="K34">
        <v>19500</v>
      </c>
    </row>
    <row r="35" spans="10:11" x14ac:dyDescent="0.3">
      <c r="J35" s="3">
        <v>17540</v>
      </c>
      <c r="K35">
        <v>17540</v>
      </c>
    </row>
    <row r="36" spans="10:11" x14ac:dyDescent="0.3">
      <c r="J36" s="4" t="s">
        <v>21</v>
      </c>
      <c r="K36">
        <v>17540</v>
      </c>
    </row>
    <row r="37" spans="10:11" x14ac:dyDescent="0.3">
      <c r="J37" s="3">
        <v>16663</v>
      </c>
      <c r="K37">
        <v>16663</v>
      </c>
    </row>
    <row r="38" spans="10:11" x14ac:dyDescent="0.3">
      <c r="J38" s="4" t="s">
        <v>18</v>
      </c>
      <c r="K38">
        <v>16663</v>
      </c>
    </row>
    <row r="39" spans="10:11" x14ac:dyDescent="0.3">
      <c r="J39" s="3">
        <v>14076</v>
      </c>
      <c r="K39">
        <v>14076</v>
      </c>
    </row>
    <row r="40" spans="10:11" x14ac:dyDescent="0.3">
      <c r="J40" s="4" t="s">
        <v>10</v>
      </c>
      <c r="K40">
        <v>14076</v>
      </c>
    </row>
    <row r="41" spans="10:11" x14ac:dyDescent="0.3">
      <c r="J41" s="3">
        <v>11635</v>
      </c>
      <c r="K41">
        <v>11635</v>
      </c>
    </row>
    <row r="42" spans="10:11" x14ac:dyDescent="0.3">
      <c r="J42" s="4" t="s">
        <v>21</v>
      </c>
      <c r="K42">
        <v>11635</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zoomScale="70" zoomScaleNormal="70" workbookViewId="0">
      <selection activeCell="M16" sqref="M16"/>
    </sheetView>
  </sheetViews>
  <sheetFormatPr defaultRowHeight="14.4" x14ac:dyDescent="0.3"/>
  <cols>
    <col min="6" max="6" width="26.5546875" customWidth="1"/>
    <col min="10" max="10" width="14.109375" bestFit="1" customWidth="1"/>
    <col min="11" max="11" width="13.88671875" bestFit="1" customWidth="1"/>
    <col min="12" max="12" width="15.77734375" bestFit="1" customWidth="1"/>
    <col min="13" max="13" width="13.88671875" bestFit="1" customWidth="1"/>
    <col min="14" max="15" width="19.5546875" bestFit="1" customWidth="1"/>
    <col min="16" max="16" width="10.77734375" bestFit="1" customWidth="1"/>
    <col min="17" max="19" width="10.5546875" bestFit="1" customWidth="1"/>
    <col min="20" max="20" width="13.33203125" bestFit="1" customWidth="1"/>
    <col min="21" max="21" width="10.77734375" bestFit="1" customWidth="1"/>
  </cols>
  <sheetData>
    <row r="1" spans="1:15" x14ac:dyDescent="0.3">
      <c r="A1" s="1" t="s">
        <v>22</v>
      </c>
      <c r="B1" s="1" t="s">
        <v>23</v>
      </c>
      <c r="C1" s="1" t="s">
        <v>24</v>
      </c>
      <c r="D1" s="1" t="s">
        <v>25</v>
      </c>
      <c r="E1" s="1" t="s">
        <v>26</v>
      </c>
      <c r="F1" s="1" t="s">
        <v>27</v>
      </c>
      <c r="G1" s="1" t="s">
        <v>28</v>
      </c>
      <c r="H1" s="1" t="s">
        <v>29</v>
      </c>
      <c r="J1" t="s">
        <v>198</v>
      </c>
      <c r="N1" t="s">
        <v>202</v>
      </c>
    </row>
    <row r="2" spans="1:15" x14ac:dyDescent="0.3">
      <c r="A2" s="6" t="s">
        <v>30</v>
      </c>
      <c r="B2" s="6" t="s">
        <v>31</v>
      </c>
      <c r="C2" s="6" t="s">
        <v>32</v>
      </c>
      <c r="D2" s="6">
        <v>48</v>
      </c>
      <c r="E2" s="5">
        <v>44956</v>
      </c>
      <c r="F2" s="5">
        <v>45442</v>
      </c>
      <c r="G2" s="6" t="s">
        <v>33</v>
      </c>
      <c r="H2" s="6">
        <v>57360</v>
      </c>
      <c r="J2" s="2" t="s">
        <v>206</v>
      </c>
      <c r="K2" s="2" t="s">
        <v>182</v>
      </c>
      <c r="N2" s="2" t="s">
        <v>184</v>
      </c>
      <c r="O2" t="s">
        <v>217</v>
      </c>
    </row>
    <row r="3" spans="1:15" x14ac:dyDescent="0.3">
      <c r="A3" s="6" t="s">
        <v>34</v>
      </c>
      <c r="B3" s="6" t="s">
        <v>35</v>
      </c>
      <c r="C3" s="6" t="s">
        <v>32</v>
      </c>
      <c r="D3" s="6">
        <v>44</v>
      </c>
      <c r="E3" s="5">
        <v>44961</v>
      </c>
      <c r="F3" s="5">
        <v>45625</v>
      </c>
      <c r="G3" s="6" t="s">
        <v>33</v>
      </c>
      <c r="H3" s="6">
        <v>39014</v>
      </c>
      <c r="J3" s="2" t="s">
        <v>184</v>
      </c>
      <c r="K3" t="s">
        <v>38</v>
      </c>
      <c r="N3" s="3" t="s">
        <v>32</v>
      </c>
      <c r="O3">
        <v>13</v>
      </c>
    </row>
    <row r="4" spans="1:15" x14ac:dyDescent="0.3">
      <c r="A4" s="6" t="s">
        <v>36</v>
      </c>
      <c r="B4" s="6" t="s">
        <v>35</v>
      </c>
      <c r="C4" s="6" t="s">
        <v>37</v>
      </c>
      <c r="D4" s="6">
        <v>44</v>
      </c>
      <c r="E4" s="5">
        <v>44534</v>
      </c>
      <c r="F4" s="6"/>
      <c r="G4" s="6" t="s">
        <v>38</v>
      </c>
      <c r="H4" s="6">
        <v>30083</v>
      </c>
      <c r="J4" s="3" t="s">
        <v>31</v>
      </c>
      <c r="K4">
        <v>2</v>
      </c>
      <c r="N4" s="3" t="s">
        <v>37</v>
      </c>
      <c r="O4">
        <v>17</v>
      </c>
    </row>
    <row r="5" spans="1:15" x14ac:dyDescent="0.3">
      <c r="A5" s="6" t="s">
        <v>39</v>
      </c>
      <c r="B5" s="6" t="s">
        <v>31</v>
      </c>
      <c r="C5" s="6" t="s">
        <v>37</v>
      </c>
      <c r="D5" s="6">
        <v>23</v>
      </c>
      <c r="E5" s="5">
        <v>44320</v>
      </c>
      <c r="F5" s="5">
        <v>45176</v>
      </c>
      <c r="G5" s="6" t="s">
        <v>33</v>
      </c>
      <c r="H5" s="6">
        <v>71032</v>
      </c>
      <c r="J5" s="3" t="s">
        <v>35</v>
      </c>
      <c r="K5">
        <v>5</v>
      </c>
    </row>
    <row r="6" spans="1:15" x14ac:dyDescent="0.3">
      <c r="A6" s="6" t="s">
        <v>40</v>
      </c>
      <c r="B6" s="6" t="s">
        <v>35</v>
      </c>
      <c r="C6" s="6" t="s">
        <v>32</v>
      </c>
      <c r="D6" s="6">
        <v>48</v>
      </c>
      <c r="E6" s="5">
        <v>44648</v>
      </c>
      <c r="F6" s="6"/>
      <c r="G6" s="6" t="s">
        <v>38</v>
      </c>
      <c r="H6" s="6">
        <v>46427</v>
      </c>
      <c r="J6" s="3" t="s">
        <v>46</v>
      </c>
      <c r="K6">
        <v>1</v>
      </c>
    </row>
    <row r="7" spans="1:15" x14ac:dyDescent="0.3">
      <c r="A7" s="6" t="s">
        <v>41</v>
      </c>
      <c r="B7" s="6" t="s">
        <v>35</v>
      </c>
      <c r="C7" s="6" t="s">
        <v>32</v>
      </c>
      <c r="D7" s="6">
        <v>36</v>
      </c>
      <c r="E7" s="5">
        <v>45000</v>
      </c>
      <c r="F7" s="5">
        <v>45614</v>
      </c>
      <c r="G7" s="6" t="s">
        <v>33</v>
      </c>
      <c r="H7" s="6">
        <v>104801</v>
      </c>
      <c r="J7" s="3" t="s">
        <v>49</v>
      </c>
      <c r="K7">
        <v>2</v>
      </c>
    </row>
    <row r="8" spans="1:15" x14ac:dyDescent="0.3">
      <c r="A8" s="6" t="s">
        <v>42</v>
      </c>
      <c r="B8" s="6" t="s">
        <v>43</v>
      </c>
      <c r="C8" s="6" t="s">
        <v>37</v>
      </c>
      <c r="D8" s="6">
        <v>31</v>
      </c>
      <c r="E8" s="5">
        <v>45003</v>
      </c>
      <c r="F8" s="5">
        <v>45668</v>
      </c>
      <c r="G8" s="6" t="s">
        <v>33</v>
      </c>
      <c r="H8" s="6">
        <v>63913</v>
      </c>
    </row>
    <row r="9" spans="1:15" x14ac:dyDescent="0.3">
      <c r="A9" s="6" t="s">
        <v>44</v>
      </c>
      <c r="B9" s="6" t="s">
        <v>31</v>
      </c>
      <c r="C9" s="6" t="s">
        <v>37</v>
      </c>
      <c r="D9" s="6">
        <v>39</v>
      </c>
      <c r="E9" s="5">
        <v>43867</v>
      </c>
      <c r="F9" s="6"/>
      <c r="G9" s="6" t="s">
        <v>38</v>
      </c>
      <c r="H9" s="6">
        <v>79964</v>
      </c>
      <c r="J9" t="s">
        <v>199</v>
      </c>
    </row>
    <row r="10" spans="1:15" x14ac:dyDescent="0.3">
      <c r="A10" s="6" t="s">
        <v>45</v>
      </c>
      <c r="B10" s="6" t="s">
        <v>46</v>
      </c>
      <c r="C10" s="6" t="s">
        <v>37</v>
      </c>
      <c r="D10" s="6">
        <v>41</v>
      </c>
      <c r="E10" s="5">
        <v>44395</v>
      </c>
      <c r="F10" s="5">
        <v>45042</v>
      </c>
      <c r="G10" s="6" t="s">
        <v>33</v>
      </c>
      <c r="H10" s="6">
        <v>71187</v>
      </c>
      <c r="J10" s="2" t="s">
        <v>206</v>
      </c>
      <c r="K10" s="2" t="s">
        <v>182</v>
      </c>
    </row>
    <row r="11" spans="1:15" x14ac:dyDescent="0.3">
      <c r="A11" s="6" t="s">
        <v>47</v>
      </c>
      <c r="B11" s="6" t="s">
        <v>43</v>
      </c>
      <c r="C11" s="6" t="s">
        <v>37</v>
      </c>
      <c r="D11" s="6">
        <v>33</v>
      </c>
      <c r="E11" s="5">
        <v>44160</v>
      </c>
      <c r="F11" s="5">
        <v>44520</v>
      </c>
      <c r="G11" s="6" t="s">
        <v>33</v>
      </c>
      <c r="H11" s="6">
        <v>85778</v>
      </c>
      <c r="J11" s="2" t="s">
        <v>184</v>
      </c>
      <c r="K11" t="s">
        <v>38</v>
      </c>
      <c r="L11" t="s">
        <v>33</v>
      </c>
    </row>
    <row r="12" spans="1:15" x14ac:dyDescent="0.3">
      <c r="A12" s="6" t="s">
        <v>48</v>
      </c>
      <c r="B12" s="6" t="s">
        <v>49</v>
      </c>
      <c r="C12" s="6" t="s">
        <v>32</v>
      </c>
      <c r="D12" s="6">
        <v>44</v>
      </c>
      <c r="E12" s="5">
        <v>45279</v>
      </c>
      <c r="F12" s="5">
        <v>45887</v>
      </c>
      <c r="G12" s="6" t="s">
        <v>33</v>
      </c>
      <c r="H12" s="6">
        <v>38642</v>
      </c>
      <c r="J12" s="3" t="s">
        <v>43</v>
      </c>
      <c r="L12">
        <v>8</v>
      </c>
    </row>
    <row r="13" spans="1:15" x14ac:dyDescent="0.3">
      <c r="A13" s="6" t="s">
        <v>50</v>
      </c>
      <c r="B13" s="6" t="s">
        <v>43</v>
      </c>
      <c r="C13" s="6" t="s">
        <v>37</v>
      </c>
      <c r="D13" s="6">
        <v>39</v>
      </c>
      <c r="E13" s="5">
        <v>44960</v>
      </c>
      <c r="F13" s="5">
        <v>45491</v>
      </c>
      <c r="G13" s="6" t="s">
        <v>33</v>
      </c>
      <c r="H13" s="6">
        <v>52972</v>
      </c>
      <c r="J13" s="4" t="s">
        <v>32</v>
      </c>
      <c r="L13">
        <v>2</v>
      </c>
    </row>
    <row r="14" spans="1:15" x14ac:dyDescent="0.3">
      <c r="A14" s="6" t="s">
        <v>51</v>
      </c>
      <c r="B14" s="6" t="s">
        <v>49</v>
      </c>
      <c r="C14" s="6" t="s">
        <v>37</v>
      </c>
      <c r="D14" s="6">
        <v>49</v>
      </c>
      <c r="E14" s="5">
        <v>44227</v>
      </c>
      <c r="F14" s="5">
        <v>44318</v>
      </c>
      <c r="G14" s="6" t="s">
        <v>33</v>
      </c>
      <c r="H14" s="6">
        <v>105379</v>
      </c>
      <c r="J14" s="4" t="s">
        <v>37</v>
      </c>
      <c r="L14">
        <v>6</v>
      </c>
    </row>
    <row r="15" spans="1:15" x14ac:dyDescent="0.3">
      <c r="A15" s="6" t="s">
        <v>52</v>
      </c>
      <c r="B15" s="6" t="s">
        <v>35</v>
      </c>
      <c r="C15" s="6" t="s">
        <v>37</v>
      </c>
      <c r="D15" s="6">
        <v>34</v>
      </c>
      <c r="E15" s="5">
        <v>45119</v>
      </c>
      <c r="F15" s="6"/>
      <c r="G15" s="6" t="s">
        <v>38</v>
      </c>
      <c r="H15" s="6">
        <v>107731</v>
      </c>
      <c r="J15" s="3" t="s">
        <v>31</v>
      </c>
      <c r="K15">
        <v>2</v>
      </c>
      <c r="L15">
        <v>2</v>
      </c>
    </row>
    <row r="16" spans="1:15" x14ac:dyDescent="0.3">
      <c r="A16" s="6" t="s">
        <v>53</v>
      </c>
      <c r="B16" s="6" t="s">
        <v>35</v>
      </c>
      <c r="C16" s="6" t="s">
        <v>37</v>
      </c>
      <c r="D16" s="6">
        <v>27</v>
      </c>
      <c r="E16" s="5">
        <v>44299</v>
      </c>
      <c r="F16" s="6"/>
      <c r="G16" s="6" t="s">
        <v>38</v>
      </c>
      <c r="H16" s="6">
        <v>32559</v>
      </c>
      <c r="J16" s="4" t="s">
        <v>32</v>
      </c>
      <c r="K16">
        <v>1</v>
      </c>
      <c r="L16">
        <v>1</v>
      </c>
    </row>
    <row r="17" spans="1:16" x14ac:dyDescent="0.3">
      <c r="A17" s="6" t="s">
        <v>54</v>
      </c>
      <c r="B17" s="6" t="s">
        <v>43</v>
      </c>
      <c r="C17" s="6" t="s">
        <v>32</v>
      </c>
      <c r="D17" s="6">
        <v>44</v>
      </c>
      <c r="E17" s="5">
        <v>43882</v>
      </c>
      <c r="F17" s="5">
        <v>44477</v>
      </c>
      <c r="G17" s="6" t="s">
        <v>33</v>
      </c>
      <c r="H17" s="6">
        <v>55865</v>
      </c>
      <c r="J17" s="4" t="s">
        <v>37</v>
      </c>
      <c r="K17">
        <v>1</v>
      </c>
      <c r="L17">
        <v>1</v>
      </c>
      <c r="N17" t="s">
        <v>203</v>
      </c>
    </row>
    <row r="18" spans="1:16" x14ac:dyDescent="0.3">
      <c r="A18" s="6" t="s">
        <v>55</v>
      </c>
      <c r="B18" s="6" t="s">
        <v>43</v>
      </c>
      <c r="C18" s="6" t="s">
        <v>37</v>
      </c>
      <c r="D18" s="6">
        <v>25</v>
      </c>
      <c r="E18" s="5">
        <v>44776</v>
      </c>
      <c r="F18" s="5">
        <v>44949</v>
      </c>
      <c r="G18" s="6" t="s">
        <v>33</v>
      </c>
      <c r="H18" s="6">
        <v>98094</v>
      </c>
      <c r="J18" s="3" t="s">
        <v>35</v>
      </c>
      <c r="K18">
        <v>5</v>
      </c>
      <c r="L18">
        <v>2</v>
      </c>
      <c r="N18" s="2" t="s">
        <v>206</v>
      </c>
      <c r="O18" s="2" t="s">
        <v>182</v>
      </c>
    </row>
    <row r="19" spans="1:16" x14ac:dyDescent="0.3">
      <c r="A19" s="6" t="s">
        <v>56</v>
      </c>
      <c r="B19" s="6" t="s">
        <v>46</v>
      </c>
      <c r="C19" s="6" t="s">
        <v>32</v>
      </c>
      <c r="D19" s="6">
        <v>33</v>
      </c>
      <c r="E19" s="5">
        <v>44436</v>
      </c>
      <c r="F19" s="6"/>
      <c r="G19" s="6" t="s">
        <v>38</v>
      </c>
      <c r="H19" s="6">
        <v>90546</v>
      </c>
      <c r="J19" s="4" t="s">
        <v>32</v>
      </c>
      <c r="K19">
        <v>1</v>
      </c>
      <c r="L19">
        <v>2</v>
      </c>
      <c r="N19" s="2" t="s">
        <v>184</v>
      </c>
      <c r="O19" t="s">
        <v>38</v>
      </c>
      <c r="P19" t="s">
        <v>33</v>
      </c>
    </row>
    <row r="20" spans="1:16" x14ac:dyDescent="0.3">
      <c r="A20" s="6" t="s">
        <v>57</v>
      </c>
      <c r="B20" s="6" t="s">
        <v>46</v>
      </c>
      <c r="C20" s="6" t="s">
        <v>37</v>
      </c>
      <c r="D20" s="6">
        <v>22</v>
      </c>
      <c r="E20" s="5">
        <v>43852</v>
      </c>
      <c r="F20" s="5">
        <v>44563</v>
      </c>
      <c r="G20" s="6" t="s">
        <v>33</v>
      </c>
      <c r="H20" s="6">
        <v>34566</v>
      </c>
      <c r="J20" s="4" t="s">
        <v>37</v>
      </c>
      <c r="K20">
        <v>4</v>
      </c>
      <c r="N20" s="3" t="s">
        <v>43</v>
      </c>
      <c r="P20">
        <v>8</v>
      </c>
    </row>
    <row r="21" spans="1:16" x14ac:dyDescent="0.3">
      <c r="A21" s="6" t="s">
        <v>58</v>
      </c>
      <c r="B21" s="6" t="s">
        <v>46</v>
      </c>
      <c r="C21" s="6" t="s">
        <v>32</v>
      </c>
      <c r="D21" s="6">
        <v>24</v>
      </c>
      <c r="E21" s="5">
        <v>44129</v>
      </c>
      <c r="F21" s="5">
        <v>44545</v>
      </c>
      <c r="G21" s="6" t="s">
        <v>33</v>
      </c>
      <c r="H21" s="6">
        <v>105366</v>
      </c>
      <c r="J21" s="3" t="s">
        <v>46</v>
      </c>
      <c r="K21">
        <v>1</v>
      </c>
      <c r="L21">
        <v>4</v>
      </c>
      <c r="N21" s="3" t="s">
        <v>31</v>
      </c>
      <c r="O21">
        <v>2</v>
      </c>
      <c r="P21">
        <v>2</v>
      </c>
    </row>
    <row r="22" spans="1:16" x14ac:dyDescent="0.3">
      <c r="A22" s="6" t="s">
        <v>59</v>
      </c>
      <c r="B22" s="6" t="s">
        <v>31</v>
      </c>
      <c r="C22" s="6" t="s">
        <v>32</v>
      </c>
      <c r="D22" s="6">
        <v>30</v>
      </c>
      <c r="E22" s="5">
        <v>44624</v>
      </c>
      <c r="F22" s="6"/>
      <c r="G22" s="6" t="s">
        <v>38</v>
      </c>
      <c r="H22" s="6">
        <v>63032</v>
      </c>
      <c r="J22" s="4" t="s">
        <v>32</v>
      </c>
      <c r="K22">
        <v>1</v>
      </c>
      <c r="L22">
        <v>1</v>
      </c>
      <c r="N22" s="3" t="s">
        <v>35</v>
      </c>
      <c r="O22">
        <v>5</v>
      </c>
      <c r="P22">
        <v>2</v>
      </c>
    </row>
    <row r="23" spans="1:16" x14ac:dyDescent="0.3">
      <c r="A23" s="6" t="s">
        <v>60</v>
      </c>
      <c r="B23" s="6" t="s">
        <v>35</v>
      </c>
      <c r="C23" s="6" t="s">
        <v>37</v>
      </c>
      <c r="D23" s="6">
        <v>29</v>
      </c>
      <c r="E23" s="5">
        <v>44464</v>
      </c>
      <c r="F23" s="6"/>
      <c r="G23" s="6" t="s">
        <v>38</v>
      </c>
      <c r="H23" s="6">
        <v>65831</v>
      </c>
      <c r="J23" s="4" t="s">
        <v>37</v>
      </c>
      <c r="L23">
        <v>3</v>
      </c>
      <c r="N23" s="3" t="s">
        <v>46</v>
      </c>
      <c r="O23">
        <v>1</v>
      </c>
      <c r="P23">
        <v>4</v>
      </c>
    </row>
    <row r="24" spans="1:16" x14ac:dyDescent="0.3">
      <c r="A24" s="6" t="s">
        <v>61</v>
      </c>
      <c r="B24" s="6" t="s">
        <v>46</v>
      </c>
      <c r="C24" s="6" t="s">
        <v>37</v>
      </c>
      <c r="D24" s="6">
        <v>46</v>
      </c>
      <c r="E24" s="5">
        <v>44898</v>
      </c>
      <c r="F24" s="5">
        <v>45264</v>
      </c>
      <c r="G24" s="6" t="s">
        <v>33</v>
      </c>
      <c r="H24" s="6">
        <v>34892</v>
      </c>
      <c r="J24" s="3" t="s">
        <v>49</v>
      </c>
      <c r="K24">
        <v>2</v>
      </c>
      <c r="L24">
        <v>4</v>
      </c>
      <c r="N24" s="3" t="s">
        <v>49</v>
      </c>
      <c r="O24">
        <v>2</v>
      </c>
      <c r="P24">
        <v>4</v>
      </c>
    </row>
    <row r="25" spans="1:16" x14ac:dyDescent="0.3">
      <c r="A25" s="6" t="s">
        <v>62</v>
      </c>
      <c r="B25" s="6" t="s">
        <v>49</v>
      </c>
      <c r="C25" s="6" t="s">
        <v>32</v>
      </c>
      <c r="D25" s="6">
        <v>31</v>
      </c>
      <c r="E25" s="5">
        <v>43884</v>
      </c>
      <c r="F25" s="6"/>
      <c r="G25" s="6" t="s">
        <v>38</v>
      </c>
      <c r="H25" s="6">
        <v>31149</v>
      </c>
      <c r="J25" s="4" t="s">
        <v>32</v>
      </c>
      <c r="K25">
        <v>1</v>
      </c>
      <c r="L25">
        <v>3</v>
      </c>
    </row>
    <row r="26" spans="1:16" x14ac:dyDescent="0.3">
      <c r="A26" s="6" t="s">
        <v>63</v>
      </c>
      <c r="B26" s="6" t="s">
        <v>43</v>
      </c>
      <c r="C26" s="6" t="s">
        <v>32</v>
      </c>
      <c r="D26" s="6">
        <v>41</v>
      </c>
      <c r="E26" s="5">
        <v>45208</v>
      </c>
      <c r="F26" s="5">
        <v>45449</v>
      </c>
      <c r="G26" s="6" t="s">
        <v>33</v>
      </c>
      <c r="H26" s="6">
        <v>42901</v>
      </c>
      <c r="J26" s="4" t="s">
        <v>37</v>
      </c>
      <c r="K26">
        <v>1</v>
      </c>
      <c r="L26">
        <v>1</v>
      </c>
    </row>
    <row r="27" spans="1:16" x14ac:dyDescent="0.3">
      <c r="A27" s="6" t="s">
        <v>64</v>
      </c>
      <c r="B27" s="6" t="s">
        <v>49</v>
      </c>
      <c r="C27" s="6" t="s">
        <v>37</v>
      </c>
      <c r="D27" s="6">
        <v>41</v>
      </c>
      <c r="E27" s="5">
        <v>45147</v>
      </c>
      <c r="F27" s="6"/>
      <c r="G27" s="6" t="s">
        <v>38</v>
      </c>
      <c r="H27" s="6">
        <v>84454</v>
      </c>
    </row>
    <row r="28" spans="1:16" x14ac:dyDescent="0.3">
      <c r="A28" s="6" t="s">
        <v>65</v>
      </c>
      <c r="B28" s="6" t="s">
        <v>49</v>
      </c>
      <c r="C28" s="6" t="s">
        <v>32</v>
      </c>
      <c r="D28" s="6">
        <v>32</v>
      </c>
      <c r="E28" s="5">
        <v>44601</v>
      </c>
      <c r="F28" s="5">
        <v>45366</v>
      </c>
      <c r="G28" s="6" t="s">
        <v>33</v>
      </c>
      <c r="H28" s="6">
        <v>57114</v>
      </c>
      <c r="J28" t="s">
        <v>200</v>
      </c>
    </row>
    <row r="29" spans="1:16" x14ac:dyDescent="0.3">
      <c r="A29" s="6" t="s">
        <v>66</v>
      </c>
      <c r="B29" s="6" t="s">
        <v>43</v>
      </c>
      <c r="C29" s="6" t="s">
        <v>37</v>
      </c>
      <c r="D29" s="6">
        <v>37</v>
      </c>
      <c r="E29" s="5">
        <v>45179</v>
      </c>
      <c r="F29" s="5">
        <v>45718</v>
      </c>
      <c r="G29" s="6" t="s">
        <v>33</v>
      </c>
      <c r="H29" s="6">
        <v>64488</v>
      </c>
      <c r="J29" s="2" t="s">
        <v>184</v>
      </c>
      <c r="K29" t="s">
        <v>207</v>
      </c>
      <c r="L29" t="s">
        <v>208</v>
      </c>
    </row>
    <row r="30" spans="1:16" x14ac:dyDescent="0.3">
      <c r="A30" s="6" t="s">
        <v>67</v>
      </c>
      <c r="B30" s="6" t="s">
        <v>49</v>
      </c>
      <c r="C30" s="6" t="s">
        <v>32</v>
      </c>
      <c r="D30" s="6">
        <v>41</v>
      </c>
      <c r="E30" s="5">
        <v>44739</v>
      </c>
      <c r="F30" s="5">
        <v>45289</v>
      </c>
      <c r="G30" s="6" t="s">
        <v>33</v>
      </c>
      <c r="H30" s="6">
        <v>89017</v>
      </c>
      <c r="J30" s="3" t="s">
        <v>43</v>
      </c>
      <c r="K30" s="8">
        <v>34.75</v>
      </c>
      <c r="L30" s="8">
        <v>71203.75</v>
      </c>
    </row>
    <row r="31" spans="1:16" x14ac:dyDescent="0.3">
      <c r="A31" s="6" t="s">
        <v>68</v>
      </c>
      <c r="B31" s="6" t="s">
        <v>43</v>
      </c>
      <c r="C31" s="6" t="s">
        <v>37</v>
      </c>
      <c r="D31" s="6">
        <v>28</v>
      </c>
      <c r="E31" s="5">
        <v>45210</v>
      </c>
      <c r="F31" s="5">
        <v>46054</v>
      </c>
      <c r="G31" s="6" t="s">
        <v>33</v>
      </c>
      <c r="H31" s="6">
        <v>105619</v>
      </c>
      <c r="J31" s="3" t="s">
        <v>31</v>
      </c>
      <c r="K31" s="8">
        <v>35</v>
      </c>
      <c r="L31" s="8">
        <v>67847</v>
      </c>
    </row>
    <row r="32" spans="1:16" x14ac:dyDescent="0.3">
      <c r="J32" s="3" t="s">
        <v>35</v>
      </c>
      <c r="K32" s="8">
        <v>37.428571428571431</v>
      </c>
      <c r="L32" s="8">
        <v>60920.857142857145</v>
      </c>
    </row>
    <row r="33" spans="10:16" x14ac:dyDescent="0.3">
      <c r="J33" s="3" t="s">
        <v>46</v>
      </c>
      <c r="K33" s="8">
        <v>33.200000000000003</v>
      </c>
      <c r="L33" s="8">
        <v>67311.399999999994</v>
      </c>
    </row>
    <row r="34" spans="10:16" x14ac:dyDescent="0.3">
      <c r="J34" s="3" t="s">
        <v>49</v>
      </c>
      <c r="K34" s="8">
        <v>39.666666666666664</v>
      </c>
      <c r="L34" s="8">
        <v>67625.833333333328</v>
      </c>
    </row>
    <row r="35" spans="10:16" x14ac:dyDescent="0.3">
      <c r="K35" s="8"/>
      <c r="L35" s="8"/>
    </row>
    <row r="36" spans="10:16" x14ac:dyDescent="0.3">
      <c r="J36" t="s">
        <v>201</v>
      </c>
    </row>
    <row r="37" spans="10:16" x14ac:dyDescent="0.3">
      <c r="J37" s="2" t="s">
        <v>216</v>
      </c>
      <c r="K37" s="2" t="s">
        <v>182</v>
      </c>
    </row>
    <row r="38" spans="10:16" x14ac:dyDescent="0.3">
      <c r="J38" s="2" t="s">
        <v>184</v>
      </c>
      <c r="K38" t="s">
        <v>38</v>
      </c>
      <c r="L38" t="s">
        <v>33</v>
      </c>
    </row>
    <row r="39" spans="10:16" x14ac:dyDescent="0.3">
      <c r="J39" s="3" t="s">
        <v>209</v>
      </c>
      <c r="K39" s="9">
        <v>10</v>
      </c>
      <c r="L39" s="9"/>
      <c r="N39" t="s">
        <v>204</v>
      </c>
    </row>
    <row r="40" spans="10:16" x14ac:dyDescent="0.3">
      <c r="J40" s="3" t="s">
        <v>210</v>
      </c>
      <c r="K40" s="9"/>
      <c r="L40" s="9">
        <v>4</v>
      </c>
      <c r="N40" t="s">
        <v>205</v>
      </c>
    </row>
    <row r="41" spans="10:16" x14ac:dyDescent="0.3">
      <c r="J41" s="3" t="s">
        <v>211</v>
      </c>
      <c r="K41" s="9"/>
      <c r="L41" s="9">
        <v>1</v>
      </c>
    </row>
    <row r="42" spans="10:16" x14ac:dyDescent="0.3">
      <c r="J42" s="3" t="s">
        <v>212</v>
      </c>
      <c r="K42" s="9"/>
      <c r="L42" s="9">
        <v>5</v>
      </c>
    </row>
    <row r="43" spans="10:16" x14ac:dyDescent="0.3">
      <c r="J43" s="3" t="s">
        <v>213</v>
      </c>
      <c r="K43" s="9"/>
      <c r="L43" s="9">
        <v>6</v>
      </c>
    </row>
    <row r="44" spans="10:16" x14ac:dyDescent="0.3">
      <c r="J44" s="3" t="s">
        <v>214</v>
      </c>
      <c r="K44" s="9"/>
      <c r="L44" s="9">
        <v>3</v>
      </c>
    </row>
    <row r="45" spans="10:16" x14ac:dyDescent="0.3">
      <c r="J45" s="3" t="s">
        <v>215</v>
      </c>
      <c r="K45" s="9"/>
      <c r="L45" s="9">
        <v>1</v>
      </c>
      <c r="O45" s="8"/>
      <c r="P45" s="8"/>
    </row>
    <row r="46" spans="10:16" x14ac:dyDescent="0.3">
      <c r="N46" s="8"/>
    </row>
    <row r="52" spans="12:13" x14ac:dyDescent="0.3">
      <c r="L52" s="8"/>
    </row>
    <row r="54" spans="12:13" x14ac:dyDescent="0.3">
      <c r="L54" s="8"/>
      <c r="M54" s="8"/>
    </row>
  </sheetData>
  <autoFilter ref="A1:H31" xr:uid="{00000000-0001-0000-0100-000000000000}"/>
  <pageMargins left="0.75" right="0.75" top="1" bottom="1" header="0.5" footer="0.5"/>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8"/>
  <sheetViews>
    <sheetView zoomScale="70" zoomScaleNormal="70" workbookViewId="0">
      <selection activeCell="W17" sqref="W17"/>
    </sheetView>
  </sheetViews>
  <sheetFormatPr defaultRowHeight="14.4" x14ac:dyDescent="0.3"/>
  <cols>
    <col min="8" max="8" width="10.77734375" customWidth="1"/>
    <col min="10" max="10" width="12.5546875" bestFit="1" customWidth="1"/>
    <col min="11" max="11" width="18.77734375" bestFit="1" customWidth="1"/>
    <col min="12" max="12" width="24.33203125" bestFit="1" customWidth="1"/>
    <col min="13" max="13" width="10" customWidth="1"/>
    <col min="14" max="14" width="12.5546875" bestFit="1" customWidth="1"/>
    <col min="15" max="15" width="19.88671875" customWidth="1"/>
    <col min="16" max="16" width="18.77734375" bestFit="1" customWidth="1"/>
    <col min="19" max="19" width="12.5546875" bestFit="1" customWidth="1"/>
  </cols>
  <sheetData>
    <row r="1" spans="1:19" x14ac:dyDescent="0.3">
      <c r="A1" s="1" t="s">
        <v>69</v>
      </c>
      <c r="B1" s="1" t="s">
        <v>70</v>
      </c>
      <c r="C1" s="1" t="s">
        <v>71</v>
      </c>
      <c r="D1" s="1" t="s">
        <v>72</v>
      </c>
      <c r="E1" s="1" t="s">
        <v>73</v>
      </c>
      <c r="F1" s="1" t="s">
        <v>74</v>
      </c>
      <c r="G1" s="1" t="s">
        <v>0</v>
      </c>
      <c r="H1" s="1" t="s">
        <v>75</v>
      </c>
      <c r="J1" t="s">
        <v>218</v>
      </c>
      <c r="N1" t="s">
        <v>222</v>
      </c>
      <c r="S1" t="s">
        <v>221</v>
      </c>
    </row>
    <row r="2" spans="1:19" x14ac:dyDescent="0.3">
      <c r="A2" s="6" t="s">
        <v>76</v>
      </c>
      <c r="B2" s="6" t="s">
        <v>77</v>
      </c>
      <c r="C2" s="6" t="s">
        <v>78</v>
      </c>
      <c r="D2" s="6">
        <v>120</v>
      </c>
      <c r="E2" s="6">
        <v>80</v>
      </c>
      <c r="F2" s="6">
        <v>84</v>
      </c>
      <c r="G2" s="5">
        <v>45155</v>
      </c>
      <c r="H2" s="6">
        <v>124</v>
      </c>
      <c r="J2" s="2" t="s">
        <v>184</v>
      </c>
      <c r="K2" t="s">
        <v>225</v>
      </c>
      <c r="L2" t="s">
        <v>226</v>
      </c>
      <c r="N2" s="2" t="s">
        <v>184</v>
      </c>
      <c r="O2" t="s">
        <v>251</v>
      </c>
      <c r="P2" t="s">
        <v>227</v>
      </c>
      <c r="S2" s="2" t="s">
        <v>184</v>
      </c>
    </row>
    <row r="3" spans="1:19" x14ac:dyDescent="0.3">
      <c r="A3" s="6" t="s">
        <v>79</v>
      </c>
      <c r="B3" s="6" t="s">
        <v>80</v>
      </c>
      <c r="C3" s="6" t="s">
        <v>81</v>
      </c>
      <c r="D3" s="6">
        <v>132</v>
      </c>
      <c r="E3" s="6">
        <v>54</v>
      </c>
      <c r="F3" s="6">
        <v>28</v>
      </c>
      <c r="G3" s="5">
        <v>45189</v>
      </c>
      <c r="H3" s="6">
        <v>106</v>
      </c>
      <c r="J3" s="3" t="s">
        <v>77</v>
      </c>
      <c r="K3">
        <v>719</v>
      </c>
      <c r="L3">
        <v>743</v>
      </c>
      <c r="N3" s="3" t="s">
        <v>77</v>
      </c>
      <c r="O3">
        <v>1850</v>
      </c>
      <c r="P3">
        <v>1874</v>
      </c>
      <c r="S3" s="3">
        <v>0</v>
      </c>
    </row>
    <row r="4" spans="1:19" x14ac:dyDescent="0.3">
      <c r="A4" s="6" t="s">
        <v>82</v>
      </c>
      <c r="B4" s="6" t="s">
        <v>77</v>
      </c>
      <c r="C4" s="6" t="s">
        <v>78</v>
      </c>
      <c r="D4" s="6">
        <v>54</v>
      </c>
      <c r="E4" s="6">
        <v>79</v>
      </c>
      <c r="F4" s="6">
        <v>25</v>
      </c>
      <c r="G4" s="5">
        <v>44983</v>
      </c>
      <c r="H4" s="6">
        <v>0</v>
      </c>
      <c r="J4" s="3" t="s">
        <v>80</v>
      </c>
      <c r="K4">
        <v>312</v>
      </c>
      <c r="L4">
        <v>252</v>
      </c>
      <c r="N4" s="3" t="s">
        <v>80</v>
      </c>
      <c r="O4">
        <v>652</v>
      </c>
      <c r="P4">
        <v>592</v>
      </c>
      <c r="S4" s="3">
        <v>48</v>
      </c>
    </row>
    <row r="5" spans="1:19" x14ac:dyDescent="0.3">
      <c r="A5" s="6" t="s">
        <v>83</v>
      </c>
      <c r="B5" s="6" t="s">
        <v>77</v>
      </c>
      <c r="C5" s="6" t="s">
        <v>84</v>
      </c>
      <c r="D5" s="6">
        <v>184</v>
      </c>
      <c r="E5" s="6">
        <v>75</v>
      </c>
      <c r="F5" s="6">
        <v>81</v>
      </c>
      <c r="G5" s="5">
        <v>45214</v>
      </c>
      <c r="H5" s="6">
        <v>190</v>
      </c>
      <c r="J5" s="3" t="s">
        <v>86</v>
      </c>
      <c r="K5">
        <v>513</v>
      </c>
      <c r="L5">
        <v>624</v>
      </c>
      <c r="N5" s="3" t="s">
        <v>86</v>
      </c>
      <c r="O5">
        <v>1232</v>
      </c>
      <c r="P5">
        <v>1343</v>
      </c>
      <c r="S5" s="3">
        <v>58</v>
      </c>
    </row>
    <row r="6" spans="1:19" x14ac:dyDescent="0.3">
      <c r="A6" s="6" t="s">
        <v>85</v>
      </c>
      <c r="B6" s="6" t="s">
        <v>86</v>
      </c>
      <c r="C6" s="6" t="s">
        <v>78</v>
      </c>
      <c r="D6" s="6">
        <v>100</v>
      </c>
      <c r="E6" s="6">
        <v>44</v>
      </c>
      <c r="F6" s="6">
        <v>29</v>
      </c>
      <c r="G6" s="5">
        <v>45278</v>
      </c>
      <c r="H6" s="6">
        <v>85</v>
      </c>
      <c r="S6" s="3">
        <v>60</v>
      </c>
    </row>
    <row r="7" spans="1:19" x14ac:dyDescent="0.3">
      <c r="A7" s="6" t="s">
        <v>87</v>
      </c>
      <c r="B7" s="6" t="s">
        <v>80</v>
      </c>
      <c r="C7" s="6" t="s">
        <v>81</v>
      </c>
      <c r="D7" s="6">
        <v>163</v>
      </c>
      <c r="E7" s="6">
        <v>67</v>
      </c>
      <c r="F7" s="6">
        <v>63</v>
      </c>
      <c r="G7" s="5">
        <v>45269</v>
      </c>
      <c r="H7" s="6">
        <v>159</v>
      </c>
      <c r="S7" s="3">
        <v>61</v>
      </c>
    </row>
    <row r="8" spans="1:19" x14ac:dyDescent="0.3">
      <c r="A8" s="6" t="s">
        <v>88</v>
      </c>
      <c r="B8" s="6" t="s">
        <v>86</v>
      </c>
      <c r="C8" s="6" t="s">
        <v>78</v>
      </c>
      <c r="D8" s="6">
        <v>196</v>
      </c>
      <c r="E8" s="6">
        <v>64</v>
      </c>
      <c r="F8" s="6">
        <v>44</v>
      </c>
      <c r="G8" s="5">
        <v>45191</v>
      </c>
      <c r="H8" s="6">
        <v>176</v>
      </c>
      <c r="J8" t="s">
        <v>219</v>
      </c>
      <c r="S8" s="3">
        <v>76</v>
      </c>
    </row>
    <row r="9" spans="1:19" x14ac:dyDescent="0.3">
      <c r="A9" s="6" t="s">
        <v>89</v>
      </c>
      <c r="B9" s="6" t="s">
        <v>77</v>
      </c>
      <c r="C9" s="6" t="s">
        <v>81</v>
      </c>
      <c r="D9" s="6">
        <v>194</v>
      </c>
      <c r="E9" s="6">
        <v>46</v>
      </c>
      <c r="F9" s="6">
        <v>91</v>
      </c>
      <c r="G9" s="5">
        <v>45224</v>
      </c>
      <c r="H9" s="6">
        <v>239</v>
      </c>
      <c r="J9" s="2" t="s">
        <v>184</v>
      </c>
      <c r="K9" t="s">
        <v>227</v>
      </c>
      <c r="S9" s="3">
        <v>82</v>
      </c>
    </row>
    <row r="10" spans="1:19" x14ac:dyDescent="0.3">
      <c r="A10" s="6" t="s">
        <v>90</v>
      </c>
      <c r="B10" s="6" t="s">
        <v>86</v>
      </c>
      <c r="C10" s="6" t="s">
        <v>78</v>
      </c>
      <c r="D10" s="6">
        <v>95</v>
      </c>
      <c r="E10" s="6">
        <v>15</v>
      </c>
      <c r="F10" s="6">
        <v>49</v>
      </c>
      <c r="G10" s="5">
        <v>45094</v>
      </c>
      <c r="H10" s="6">
        <v>129</v>
      </c>
      <c r="J10" s="3" t="s">
        <v>77</v>
      </c>
      <c r="K10">
        <v>1874</v>
      </c>
      <c r="S10" s="3">
        <v>85</v>
      </c>
    </row>
    <row r="11" spans="1:19" x14ac:dyDescent="0.3">
      <c r="A11" s="6" t="s">
        <v>91</v>
      </c>
      <c r="B11" s="6" t="s">
        <v>86</v>
      </c>
      <c r="C11" s="6" t="s">
        <v>81</v>
      </c>
      <c r="D11" s="6">
        <v>97</v>
      </c>
      <c r="E11" s="6">
        <v>33</v>
      </c>
      <c r="F11" s="6">
        <v>62</v>
      </c>
      <c r="G11" s="5">
        <v>44972</v>
      </c>
      <c r="H11" s="6">
        <v>126</v>
      </c>
      <c r="J11" s="3" t="s">
        <v>80</v>
      </c>
      <c r="K11">
        <v>592</v>
      </c>
      <c r="S11" s="3">
        <v>100</v>
      </c>
    </row>
    <row r="12" spans="1:19" x14ac:dyDescent="0.3">
      <c r="A12" s="6" t="s">
        <v>92</v>
      </c>
      <c r="B12" s="6" t="s">
        <v>86</v>
      </c>
      <c r="C12" s="6" t="s">
        <v>81</v>
      </c>
      <c r="D12" s="6">
        <v>177</v>
      </c>
      <c r="E12" s="6">
        <v>63</v>
      </c>
      <c r="F12" s="6">
        <v>67</v>
      </c>
      <c r="G12" s="5">
        <v>44947</v>
      </c>
      <c r="H12" s="6">
        <v>181</v>
      </c>
      <c r="J12" s="3" t="s">
        <v>86</v>
      </c>
      <c r="K12">
        <v>1343</v>
      </c>
      <c r="S12" s="3">
        <v>105</v>
      </c>
    </row>
    <row r="13" spans="1:19" x14ac:dyDescent="0.3">
      <c r="A13" s="6" t="s">
        <v>93</v>
      </c>
      <c r="B13" s="6" t="s">
        <v>77</v>
      </c>
      <c r="C13" s="6" t="s">
        <v>81</v>
      </c>
      <c r="D13" s="6">
        <v>114</v>
      </c>
      <c r="E13" s="6">
        <v>72</v>
      </c>
      <c r="F13" s="6">
        <v>63</v>
      </c>
      <c r="G13" s="5">
        <v>44941</v>
      </c>
      <c r="H13" s="6">
        <v>105</v>
      </c>
      <c r="S13" s="3">
        <v>106</v>
      </c>
    </row>
    <row r="14" spans="1:19" x14ac:dyDescent="0.3">
      <c r="A14" s="6" t="s">
        <v>94</v>
      </c>
      <c r="B14" s="6" t="s">
        <v>80</v>
      </c>
      <c r="C14" s="6" t="s">
        <v>81</v>
      </c>
      <c r="D14" s="6">
        <v>122</v>
      </c>
      <c r="E14" s="6">
        <v>55</v>
      </c>
      <c r="F14" s="6">
        <v>68</v>
      </c>
      <c r="G14" s="5">
        <v>45041</v>
      </c>
      <c r="H14" s="6">
        <v>135</v>
      </c>
      <c r="J14" t="s">
        <v>220</v>
      </c>
      <c r="S14" s="3">
        <v>116</v>
      </c>
    </row>
    <row r="15" spans="1:19" x14ac:dyDescent="0.3">
      <c r="A15" s="6" t="s">
        <v>95</v>
      </c>
      <c r="B15" s="6" t="s">
        <v>77</v>
      </c>
      <c r="C15" s="6" t="s">
        <v>81</v>
      </c>
      <c r="D15" s="6">
        <v>188</v>
      </c>
      <c r="E15" s="6">
        <v>32</v>
      </c>
      <c r="F15" s="6">
        <v>26</v>
      </c>
      <c r="G15" s="5">
        <v>45153</v>
      </c>
      <c r="H15" s="6">
        <v>182</v>
      </c>
      <c r="J15" s="2" t="s">
        <v>184</v>
      </c>
      <c r="K15" t="s">
        <v>225</v>
      </c>
      <c r="L15" t="s">
        <v>226</v>
      </c>
      <c r="S15" s="3">
        <v>121</v>
      </c>
    </row>
    <row r="16" spans="1:19" x14ac:dyDescent="0.3">
      <c r="A16" s="6" t="s">
        <v>96</v>
      </c>
      <c r="B16" s="6" t="s">
        <v>77</v>
      </c>
      <c r="C16" s="6" t="s">
        <v>78</v>
      </c>
      <c r="D16" s="6">
        <v>181</v>
      </c>
      <c r="E16" s="6">
        <v>66</v>
      </c>
      <c r="F16" s="6">
        <v>50</v>
      </c>
      <c r="G16" s="5">
        <v>45026</v>
      </c>
      <c r="H16" s="6">
        <v>165</v>
      </c>
      <c r="J16" s="3" t="s">
        <v>228</v>
      </c>
      <c r="K16">
        <v>133</v>
      </c>
      <c r="L16">
        <v>102</v>
      </c>
      <c r="S16" s="3">
        <v>124</v>
      </c>
    </row>
    <row r="17" spans="1:19" x14ac:dyDescent="0.3">
      <c r="A17" s="6" t="s">
        <v>97</v>
      </c>
      <c r="B17" s="6" t="s">
        <v>77</v>
      </c>
      <c r="C17" s="6" t="s">
        <v>84</v>
      </c>
      <c r="D17" s="6">
        <v>71</v>
      </c>
      <c r="E17" s="6">
        <v>36</v>
      </c>
      <c r="F17" s="6">
        <v>65</v>
      </c>
      <c r="G17" s="5">
        <v>45230</v>
      </c>
      <c r="H17" s="6">
        <v>100</v>
      </c>
      <c r="J17" s="3" t="s">
        <v>229</v>
      </c>
      <c r="K17">
        <v>92</v>
      </c>
      <c r="L17">
        <v>144</v>
      </c>
      <c r="S17" s="3">
        <v>126</v>
      </c>
    </row>
    <row r="18" spans="1:19" x14ac:dyDescent="0.3">
      <c r="A18" s="6" t="s">
        <v>98</v>
      </c>
      <c r="B18" s="6" t="s">
        <v>77</v>
      </c>
      <c r="C18" s="6" t="s">
        <v>84</v>
      </c>
      <c r="D18" s="6">
        <v>106</v>
      </c>
      <c r="E18" s="6">
        <v>10</v>
      </c>
      <c r="F18" s="6">
        <v>25</v>
      </c>
      <c r="G18" s="5">
        <v>44978</v>
      </c>
      <c r="H18" s="6">
        <v>121</v>
      </c>
      <c r="J18" s="3" t="s">
        <v>230</v>
      </c>
      <c r="K18">
        <v>43</v>
      </c>
      <c r="L18">
        <v>87</v>
      </c>
      <c r="S18" s="3">
        <v>129</v>
      </c>
    </row>
    <row r="19" spans="1:19" x14ac:dyDescent="0.3">
      <c r="A19" s="6" t="s">
        <v>99</v>
      </c>
      <c r="B19" s="6" t="s">
        <v>77</v>
      </c>
      <c r="C19" s="6" t="s">
        <v>78</v>
      </c>
      <c r="D19" s="6">
        <v>129</v>
      </c>
      <c r="E19" s="6">
        <v>22</v>
      </c>
      <c r="F19" s="6">
        <v>70</v>
      </c>
      <c r="G19" s="5">
        <v>45003</v>
      </c>
      <c r="H19" s="6">
        <v>177</v>
      </c>
      <c r="J19" s="3" t="s">
        <v>231</v>
      </c>
      <c r="K19">
        <v>79</v>
      </c>
      <c r="L19">
        <v>25</v>
      </c>
      <c r="S19" s="3">
        <v>135</v>
      </c>
    </row>
    <row r="20" spans="1:19" x14ac:dyDescent="0.3">
      <c r="A20" s="6" t="s">
        <v>100</v>
      </c>
      <c r="B20" s="6" t="s">
        <v>77</v>
      </c>
      <c r="C20" s="6" t="s">
        <v>78</v>
      </c>
      <c r="D20" s="6">
        <v>170</v>
      </c>
      <c r="E20" s="6">
        <v>56</v>
      </c>
      <c r="F20" s="6">
        <v>21</v>
      </c>
      <c r="G20" s="5">
        <v>45004</v>
      </c>
      <c r="H20" s="6">
        <v>135</v>
      </c>
      <c r="J20" s="3" t="s">
        <v>232</v>
      </c>
      <c r="K20">
        <v>68</v>
      </c>
      <c r="L20">
        <v>57</v>
      </c>
      <c r="S20" s="3">
        <v>138</v>
      </c>
    </row>
    <row r="21" spans="1:19" x14ac:dyDescent="0.3">
      <c r="A21" s="6" t="s">
        <v>101</v>
      </c>
      <c r="B21" s="6" t="s">
        <v>77</v>
      </c>
      <c r="C21" s="6" t="s">
        <v>78</v>
      </c>
      <c r="D21" s="6">
        <v>128</v>
      </c>
      <c r="E21" s="6">
        <v>40</v>
      </c>
      <c r="F21" s="6">
        <v>28</v>
      </c>
      <c r="G21" s="5">
        <v>45166</v>
      </c>
      <c r="H21" s="6">
        <v>116</v>
      </c>
      <c r="J21" s="3" t="s">
        <v>233</v>
      </c>
      <c r="K21">
        <v>78</v>
      </c>
      <c r="L21">
        <v>91</v>
      </c>
      <c r="N21" t="s">
        <v>223</v>
      </c>
      <c r="S21" s="3">
        <v>144</v>
      </c>
    </row>
    <row r="22" spans="1:19" x14ac:dyDescent="0.3">
      <c r="A22" s="6" t="s">
        <v>102</v>
      </c>
      <c r="B22" s="6" t="s">
        <v>86</v>
      </c>
      <c r="C22" s="6" t="s">
        <v>78</v>
      </c>
      <c r="D22" s="6">
        <v>56</v>
      </c>
      <c r="E22" s="6">
        <v>46</v>
      </c>
      <c r="F22" s="6">
        <v>66</v>
      </c>
      <c r="G22" s="5">
        <v>45052</v>
      </c>
      <c r="H22" s="6">
        <v>76</v>
      </c>
      <c r="J22" s="3" t="s">
        <v>234</v>
      </c>
      <c r="K22">
        <v>66</v>
      </c>
      <c r="L22">
        <v>50</v>
      </c>
      <c r="S22" s="3">
        <v>159</v>
      </c>
    </row>
    <row r="23" spans="1:19" x14ac:dyDescent="0.3">
      <c r="A23" s="6" t="s">
        <v>103</v>
      </c>
      <c r="B23" s="6" t="s">
        <v>86</v>
      </c>
      <c r="C23" s="6" t="s">
        <v>78</v>
      </c>
      <c r="D23" s="6">
        <v>136</v>
      </c>
      <c r="E23" s="6">
        <v>20</v>
      </c>
      <c r="F23" s="6">
        <v>59</v>
      </c>
      <c r="G23" s="5">
        <v>45247</v>
      </c>
      <c r="H23" s="6">
        <v>175</v>
      </c>
      <c r="J23" s="3" t="s">
        <v>235</v>
      </c>
      <c r="K23">
        <v>55</v>
      </c>
      <c r="L23">
        <v>68</v>
      </c>
      <c r="S23" s="3">
        <v>165</v>
      </c>
    </row>
    <row r="24" spans="1:19" x14ac:dyDescent="0.3">
      <c r="A24" s="6" t="s">
        <v>104</v>
      </c>
      <c r="B24" s="6" t="s">
        <v>77</v>
      </c>
      <c r="C24" s="6" t="s">
        <v>81</v>
      </c>
      <c r="D24" s="6">
        <v>68</v>
      </c>
      <c r="E24" s="6">
        <v>56</v>
      </c>
      <c r="F24" s="6">
        <v>70</v>
      </c>
      <c r="G24" s="5">
        <v>45100</v>
      </c>
      <c r="H24" s="6">
        <v>82</v>
      </c>
      <c r="J24" s="3" t="s">
        <v>236</v>
      </c>
      <c r="K24">
        <v>46</v>
      </c>
      <c r="L24">
        <v>66</v>
      </c>
      <c r="S24" s="3">
        <v>175</v>
      </c>
    </row>
    <row r="25" spans="1:19" x14ac:dyDescent="0.3">
      <c r="A25" s="6" t="s">
        <v>105</v>
      </c>
      <c r="B25" s="6" t="s">
        <v>80</v>
      </c>
      <c r="C25" s="6" t="s">
        <v>84</v>
      </c>
      <c r="D25" s="6">
        <v>165</v>
      </c>
      <c r="E25" s="6">
        <v>68</v>
      </c>
      <c r="F25" s="6">
        <v>47</v>
      </c>
      <c r="G25" s="5">
        <v>45286</v>
      </c>
      <c r="H25" s="6">
        <v>144</v>
      </c>
      <c r="J25" s="3" t="s">
        <v>237</v>
      </c>
      <c r="K25">
        <v>15</v>
      </c>
      <c r="L25">
        <v>49</v>
      </c>
      <c r="S25" s="3">
        <v>176</v>
      </c>
    </row>
    <row r="26" spans="1:19" x14ac:dyDescent="0.3">
      <c r="A26" s="6" t="s">
        <v>106</v>
      </c>
      <c r="B26" s="6" t="s">
        <v>86</v>
      </c>
      <c r="C26" s="6" t="s">
        <v>81</v>
      </c>
      <c r="D26" s="6">
        <v>71</v>
      </c>
      <c r="E26" s="6">
        <v>68</v>
      </c>
      <c r="F26" s="6">
        <v>57</v>
      </c>
      <c r="G26" s="5">
        <v>44987</v>
      </c>
      <c r="H26" s="6">
        <v>60</v>
      </c>
      <c r="J26" s="3" t="s">
        <v>238</v>
      </c>
      <c r="K26">
        <v>56</v>
      </c>
      <c r="L26">
        <v>70</v>
      </c>
      <c r="S26" s="3">
        <v>177</v>
      </c>
    </row>
    <row r="27" spans="1:19" x14ac:dyDescent="0.3">
      <c r="A27" s="6" t="s">
        <v>107</v>
      </c>
      <c r="B27" s="6" t="s">
        <v>86</v>
      </c>
      <c r="C27" s="6" t="s">
        <v>84</v>
      </c>
      <c r="D27" s="6">
        <v>56</v>
      </c>
      <c r="E27" s="6">
        <v>70</v>
      </c>
      <c r="F27" s="6">
        <v>75</v>
      </c>
      <c r="G27" s="5">
        <v>45123</v>
      </c>
      <c r="H27" s="6">
        <v>61</v>
      </c>
      <c r="J27" s="3" t="s">
        <v>239</v>
      </c>
      <c r="K27">
        <v>70</v>
      </c>
      <c r="L27">
        <v>75</v>
      </c>
      <c r="S27" s="3">
        <v>181</v>
      </c>
    </row>
    <row r="28" spans="1:19" x14ac:dyDescent="0.3">
      <c r="A28" s="6" t="s">
        <v>108</v>
      </c>
      <c r="B28" s="6" t="s">
        <v>86</v>
      </c>
      <c r="C28" s="6" t="s">
        <v>84</v>
      </c>
      <c r="D28" s="6">
        <v>80</v>
      </c>
      <c r="E28" s="6">
        <v>61</v>
      </c>
      <c r="F28" s="6">
        <v>39</v>
      </c>
      <c r="G28" s="5">
        <v>44937</v>
      </c>
      <c r="H28" s="6">
        <v>58</v>
      </c>
      <c r="J28" s="3" t="s">
        <v>240</v>
      </c>
      <c r="K28">
        <v>81</v>
      </c>
      <c r="L28">
        <v>70</v>
      </c>
      <c r="S28" s="3">
        <v>182</v>
      </c>
    </row>
    <row r="29" spans="1:19" x14ac:dyDescent="0.3">
      <c r="A29" s="6" t="s">
        <v>109</v>
      </c>
      <c r="B29" s="6" t="s">
        <v>80</v>
      </c>
      <c r="C29" s="6" t="s">
        <v>81</v>
      </c>
      <c r="D29" s="6">
        <v>70</v>
      </c>
      <c r="E29" s="6">
        <v>68</v>
      </c>
      <c r="F29" s="6">
        <v>46</v>
      </c>
      <c r="G29" s="5">
        <v>45261</v>
      </c>
      <c r="H29" s="6">
        <v>48</v>
      </c>
      <c r="J29" s="3" t="s">
        <v>241</v>
      </c>
      <c r="K29">
        <v>80</v>
      </c>
      <c r="L29">
        <v>84</v>
      </c>
      <c r="S29" s="3">
        <v>190</v>
      </c>
    </row>
    <row r="30" spans="1:19" x14ac:dyDescent="0.3">
      <c r="A30" s="6" t="s">
        <v>110</v>
      </c>
      <c r="B30" s="6" t="s">
        <v>77</v>
      </c>
      <c r="C30" s="6" t="s">
        <v>78</v>
      </c>
      <c r="D30" s="6">
        <v>143</v>
      </c>
      <c r="E30" s="6">
        <v>49</v>
      </c>
      <c r="F30" s="6">
        <v>44</v>
      </c>
      <c r="G30" s="5">
        <v>45147</v>
      </c>
      <c r="H30" s="6">
        <v>138</v>
      </c>
      <c r="J30" s="3" t="s">
        <v>242</v>
      </c>
      <c r="K30">
        <v>40</v>
      </c>
      <c r="L30">
        <v>28</v>
      </c>
      <c r="S30" s="3">
        <v>216</v>
      </c>
    </row>
    <row r="31" spans="1:19" x14ac:dyDescent="0.3">
      <c r="A31" s="6" t="s">
        <v>111</v>
      </c>
      <c r="B31" s="6" t="s">
        <v>86</v>
      </c>
      <c r="C31" s="6" t="s">
        <v>84</v>
      </c>
      <c r="D31" s="6">
        <v>168</v>
      </c>
      <c r="E31" s="6">
        <v>29</v>
      </c>
      <c r="F31" s="6">
        <v>77</v>
      </c>
      <c r="G31" s="5">
        <v>44944</v>
      </c>
      <c r="H31" s="6">
        <v>216</v>
      </c>
      <c r="J31" s="3" t="s">
        <v>243</v>
      </c>
      <c r="K31">
        <v>118</v>
      </c>
      <c r="L31">
        <v>72</v>
      </c>
      <c r="S31" s="3">
        <v>239</v>
      </c>
    </row>
    <row r="32" spans="1:19" x14ac:dyDescent="0.3">
      <c r="J32" s="3" t="s">
        <v>244</v>
      </c>
      <c r="K32">
        <v>75</v>
      </c>
      <c r="L32">
        <v>81</v>
      </c>
    </row>
    <row r="33" spans="4:12" x14ac:dyDescent="0.3">
      <c r="D33" t="s">
        <v>224</v>
      </c>
      <c r="J33" s="3" t="s">
        <v>245</v>
      </c>
      <c r="K33">
        <v>82</v>
      </c>
      <c r="L33">
        <v>156</v>
      </c>
    </row>
    <row r="34" spans="4:12" x14ac:dyDescent="0.3">
      <c r="J34" s="3" t="s">
        <v>246</v>
      </c>
      <c r="K34">
        <v>20</v>
      </c>
      <c r="L34">
        <v>59</v>
      </c>
    </row>
    <row r="35" spans="4:12" x14ac:dyDescent="0.3">
      <c r="J35" s="3" t="s">
        <v>247</v>
      </c>
      <c r="K35">
        <v>68</v>
      </c>
      <c r="L35">
        <v>46</v>
      </c>
    </row>
    <row r="36" spans="4:12" x14ac:dyDescent="0.3">
      <c r="J36" s="3" t="s">
        <v>248</v>
      </c>
      <c r="K36">
        <v>67</v>
      </c>
      <c r="L36">
        <v>63</v>
      </c>
    </row>
    <row r="37" spans="4:12" x14ac:dyDescent="0.3">
      <c r="J37" s="3" t="s">
        <v>249</v>
      </c>
      <c r="K37">
        <v>44</v>
      </c>
      <c r="L37">
        <v>29</v>
      </c>
    </row>
    <row r="38" spans="4:12" x14ac:dyDescent="0.3">
      <c r="J38" s="3" t="s">
        <v>250</v>
      </c>
      <c r="K38">
        <v>68</v>
      </c>
      <c r="L38">
        <v>47</v>
      </c>
    </row>
  </sheetData>
  <conditionalFormatting sqref="A1:H31">
    <cfRule type="top10" dxfId="2" priority="1" bottom="1" rank="10"/>
  </conditionalFormatting>
  <conditionalFormatting sqref="E1">
    <cfRule type="top10" dxfId="1" priority="3" bottom="1" rank="1"/>
  </conditionalFormatting>
  <conditionalFormatting sqref="H1">
    <cfRule type="top10" dxfId="0" priority="2" bottom="1" rank="10"/>
  </conditionalFormatting>
  <conditionalFormatting sqref="S3:S31">
    <cfRule type="colorScale" priority="5">
      <colorScale>
        <cfvo type="min"/>
        <cfvo type="max"/>
        <color rgb="FFF8696B"/>
        <color rgb="FFFCFCFF"/>
      </colorScale>
    </cfRule>
  </conditionalFormatting>
  <conditionalFormatting sqref="S4:S31">
    <cfRule type="colorScale" priority="4">
      <colorScale>
        <cfvo type="min"/>
        <cfvo type="percentile" val="50"/>
        <cfvo type="max"/>
        <color rgb="FFF8696B"/>
        <color rgb="FFFFEB84"/>
        <color rgb="FF63BE7B"/>
      </colorScale>
    </cfRule>
  </conditionalFormatting>
  <pageMargins left="0.75" right="0.75" top="1" bottom="1" header="0.5" footer="0.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topLeftCell="E1" workbookViewId="0">
      <selection activeCell="E12" sqref="E12"/>
    </sheetView>
  </sheetViews>
  <sheetFormatPr defaultRowHeight="14.4" x14ac:dyDescent="0.3"/>
  <cols>
    <col min="9" max="9" width="12.5546875" bestFit="1" customWidth="1"/>
    <col min="10" max="10" width="22" bestFit="1" customWidth="1"/>
    <col min="11" max="11" width="13.5546875" bestFit="1" customWidth="1"/>
    <col min="13" max="13" width="22" bestFit="1" customWidth="1"/>
    <col min="14" max="14" width="13.5546875" bestFit="1" customWidth="1"/>
  </cols>
  <sheetData>
    <row r="1" spans="1:14" x14ac:dyDescent="0.3">
      <c r="A1" s="1" t="s">
        <v>23</v>
      </c>
      <c r="B1" s="1" t="s">
        <v>112</v>
      </c>
      <c r="C1" s="1" t="s">
        <v>113</v>
      </c>
      <c r="D1" s="1" t="s">
        <v>114</v>
      </c>
      <c r="E1" s="1" t="s">
        <v>0</v>
      </c>
      <c r="F1" s="1" t="s">
        <v>115</v>
      </c>
      <c r="G1" s="1" t="s">
        <v>262</v>
      </c>
      <c r="I1" t="s">
        <v>252</v>
      </c>
      <c r="M1" t="s">
        <v>256</v>
      </c>
    </row>
    <row r="2" spans="1:14" x14ac:dyDescent="0.3">
      <c r="A2" s="6" t="s">
        <v>35</v>
      </c>
      <c r="B2" s="6" t="s">
        <v>116</v>
      </c>
      <c r="C2" s="6">
        <v>3707</v>
      </c>
      <c r="D2" s="6">
        <v>5413</v>
      </c>
      <c r="E2" s="5">
        <v>45091</v>
      </c>
      <c r="F2" s="6" t="s">
        <v>117</v>
      </c>
      <c r="G2" s="11">
        <f>$C2*100/$D2</f>
        <v>68.483280990208755</v>
      </c>
      <c r="I2" s="2" t="s">
        <v>184</v>
      </c>
      <c r="J2" t="s">
        <v>260</v>
      </c>
      <c r="K2" t="s">
        <v>261</v>
      </c>
      <c r="M2" t="s">
        <v>260</v>
      </c>
      <c r="N2" t="s">
        <v>261</v>
      </c>
    </row>
    <row r="3" spans="1:14" x14ac:dyDescent="0.3">
      <c r="A3" s="6" t="s">
        <v>118</v>
      </c>
      <c r="B3" s="6" t="s">
        <v>119</v>
      </c>
      <c r="C3" s="6">
        <v>8341</v>
      </c>
      <c r="D3" s="6">
        <v>10963</v>
      </c>
      <c r="E3" s="5">
        <v>45111</v>
      </c>
      <c r="F3" s="6" t="s">
        <v>120</v>
      </c>
      <c r="G3" s="11">
        <f t="shared" ref="G3:G31" si="0">$C3*100/$D3</f>
        <v>76.083188908145587</v>
      </c>
      <c r="I3" s="3" t="s">
        <v>118</v>
      </c>
      <c r="J3">
        <v>54260</v>
      </c>
      <c r="K3">
        <v>100201</v>
      </c>
      <c r="M3">
        <v>154861</v>
      </c>
      <c r="N3">
        <v>291137</v>
      </c>
    </row>
    <row r="4" spans="1:14" x14ac:dyDescent="0.3">
      <c r="A4" s="6" t="s">
        <v>121</v>
      </c>
      <c r="B4" s="6" t="s">
        <v>122</v>
      </c>
      <c r="C4" s="6">
        <v>8733</v>
      </c>
      <c r="D4" s="6">
        <v>8992</v>
      </c>
      <c r="E4" s="5">
        <v>45125</v>
      </c>
      <c r="F4" s="6" t="s">
        <v>123</v>
      </c>
      <c r="G4" s="11">
        <f t="shared" si="0"/>
        <v>97.119661921708186</v>
      </c>
      <c r="I4" s="3" t="s">
        <v>35</v>
      </c>
      <c r="J4">
        <v>48167</v>
      </c>
      <c r="K4">
        <v>86839</v>
      </c>
    </row>
    <row r="5" spans="1:14" x14ac:dyDescent="0.3">
      <c r="A5" s="6" t="s">
        <v>121</v>
      </c>
      <c r="B5" s="6" t="s">
        <v>124</v>
      </c>
      <c r="C5" s="6">
        <v>1403</v>
      </c>
      <c r="D5" s="6">
        <v>7501</v>
      </c>
      <c r="E5" s="5">
        <v>45280</v>
      </c>
      <c r="F5" s="6" t="s">
        <v>117</v>
      </c>
      <c r="G5" s="11">
        <f t="shared" si="0"/>
        <v>18.704172776963073</v>
      </c>
      <c r="I5" s="3" t="s">
        <v>126</v>
      </c>
      <c r="J5">
        <v>11562</v>
      </c>
      <c r="K5">
        <v>21818</v>
      </c>
    </row>
    <row r="6" spans="1:14" x14ac:dyDescent="0.3">
      <c r="A6" s="6" t="s">
        <v>118</v>
      </c>
      <c r="B6" s="6" t="s">
        <v>124</v>
      </c>
      <c r="C6" s="6">
        <v>5713</v>
      </c>
      <c r="D6" s="6">
        <v>11398</v>
      </c>
      <c r="E6" s="5">
        <v>45022</v>
      </c>
      <c r="F6" s="6" t="s">
        <v>117</v>
      </c>
      <c r="G6" s="11">
        <f t="shared" si="0"/>
        <v>50.122828566415158</v>
      </c>
      <c r="I6" s="3" t="s">
        <v>121</v>
      </c>
      <c r="J6">
        <v>40872</v>
      </c>
      <c r="K6">
        <v>82279</v>
      </c>
    </row>
    <row r="7" spans="1:14" x14ac:dyDescent="0.3">
      <c r="A7" s="6" t="s">
        <v>121</v>
      </c>
      <c r="B7" s="6" t="s">
        <v>116</v>
      </c>
      <c r="C7" s="6">
        <v>9223</v>
      </c>
      <c r="D7" s="6">
        <v>13529</v>
      </c>
      <c r="E7" s="5">
        <v>45034</v>
      </c>
      <c r="F7" s="6" t="s">
        <v>125</v>
      </c>
      <c r="G7" s="11">
        <f t="shared" si="0"/>
        <v>68.172074802276597</v>
      </c>
    </row>
    <row r="8" spans="1:14" x14ac:dyDescent="0.3">
      <c r="A8" s="6" t="s">
        <v>118</v>
      </c>
      <c r="B8" s="6" t="s">
        <v>119</v>
      </c>
      <c r="C8" s="6">
        <v>2901</v>
      </c>
      <c r="D8" s="6">
        <v>12206</v>
      </c>
      <c r="E8" s="5">
        <v>45105</v>
      </c>
      <c r="F8" s="6" t="s">
        <v>120</v>
      </c>
      <c r="G8" s="11">
        <f t="shared" si="0"/>
        <v>23.766999836146159</v>
      </c>
      <c r="I8" t="s">
        <v>253</v>
      </c>
    </row>
    <row r="9" spans="1:14" x14ac:dyDescent="0.3">
      <c r="A9" s="6" t="s">
        <v>118</v>
      </c>
      <c r="B9" s="6" t="s">
        <v>122</v>
      </c>
      <c r="C9" s="6">
        <v>2121</v>
      </c>
      <c r="D9" s="6">
        <v>11558</v>
      </c>
      <c r="E9" s="5">
        <v>45260</v>
      </c>
      <c r="F9" s="6" t="s">
        <v>120</v>
      </c>
      <c r="G9" s="11">
        <f t="shared" si="0"/>
        <v>18.350925765703408</v>
      </c>
      <c r="I9" s="2" t="s">
        <v>184</v>
      </c>
      <c r="J9" t="s">
        <v>261</v>
      </c>
    </row>
    <row r="10" spans="1:14" x14ac:dyDescent="0.3">
      <c r="A10" s="6" t="s">
        <v>35</v>
      </c>
      <c r="B10" s="6" t="s">
        <v>122</v>
      </c>
      <c r="C10" s="6">
        <v>4478</v>
      </c>
      <c r="D10" s="6">
        <v>12258</v>
      </c>
      <c r="E10" s="5">
        <v>45176</v>
      </c>
      <c r="F10" s="6" t="s">
        <v>125</v>
      </c>
      <c r="G10" s="11">
        <f t="shared" si="0"/>
        <v>36.531244901288957</v>
      </c>
      <c r="I10" s="3" t="s">
        <v>116</v>
      </c>
      <c r="J10" s="10">
        <v>0.13974520586527991</v>
      </c>
    </row>
    <row r="11" spans="1:14" x14ac:dyDescent="0.3">
      <c r="A11" s="6" t="s">
        <v>35</v>
      </c>
      <c r="B11" s="6" t="s">
        <v>119</v>
      </c>
      <c r="C11" s="6">
        <v>3137</v>
      </c>
      <c r="D11" s="6">
        <v>10509</v>
      </c>
      <c r="E11" s="5">
        <v>44941</v>
      </c>
      <c r="F11" s="6" t="s">
        <v>125</v>
      </c>
      <c r="G11" s="11">
        <f t="shared" si="0"/>
        <v>29.850604243981348</v>
      </c>
      <c r="I11" s="3" t="s">
        <v>124</v>
      </c>
      <c r="J11" s="10">
        <v>0.19050481388487206</v>
      </c>
    </row>
    <row r="12" spans="1:14" x14ac:dyDescent="0.3">
      <c r="A12" s="6" t="s">
        <v>121</v>
      </c>
      <c r="B12" s="6" t="s">
        <v>124</v>
      </c>
      <c r="C12" s="6">
        <v>3272</v>
      </c>
      <c r="D12" s="6">
        <v>11154</v>
      </c>
      <c r="E12" s="5">
        <v>45191</v>
      </c>
      <c r="F12" s="6" t="s">
        <v>120</v>
      </c>
      <c r="G12" s="11">
        <f t="shared" si="0"/>
        <v>29.334767796306259</v>
      </c>
      <c r="I12" s="3" t="s">
        <v>122</v>
      </c>
      <c r="J12" s="10">
        <v>0.27043968990543971</v>
      </c>
    </row>
    <row r="13" spans="1:14" x14ac:dyDescent="0.3">
      <c r="A13" s="6" t="s">
        <v>35</v>
      </c>
      <c r="B13" s="6" t="s">
        <v>124</v>
      </c>
      <c r="C13" s="6">
        <v>7552</v>
      </c>
      <c r="D13" s="6">
        <v>5819</v>
      </c>
      <c r="E13" s="5">
        <v>45140</v>
      </c>
      <c r="F13" s="6" t="s">
        <v>123</v>
      </c>
      <c r="G13" s="11">
        <f t="shared" si="0"/>
        <v>129.78174944148478</v>
      </c>
      <c r="I13" s="3" t="s">
        <v>119</v>
      </c>
      <c r="J13" s="10">
        <v>0.39931029034440829</v>
      </c>
    </row>
    <row r="14" spans="1:14" x14ac:dyDescent="0.3">
      <c r="A14" s="6" t="s">
        <v>118</v>
      </c>
      <c r="B14" s="6" t="s">
        <v>119</v>
      </c>
      <c r="C14" s="6">
        <v>1399</v>
      </c>
      <c r="D14" s="6">
        <v>5098</v>
      </c>
      <c r="E14" s="5">
        <v>44980</v>
      </c>
      <c r="F14" s="6" t="s">
        <v>125</v>
      </c>
      <c r="G14" s="11">
        <f t="shared" si="0"/>
        <v>27.442134170262847</v>
      </c>
    </row>
    <row r="15" spans="1:14" x14ac:dyDescent="0.3">
      <c r="A15" s="6" t="s">
        <v>35</v>
      </c>
      <c r="B15" s="6" t="s">
        <v>122</v>
      </c>
      <c r="C15" s="6">
        <v>9009</v>
      </c>
      <c r="D15" s="6">
        <v>8963</v>
      </c>
      <c r="E15" s="5">
        <v>45152</v>
      </c>
      <c r="F15" s="6" t="s">
        <v>120</v>
      </c>
      <c r="G15" s="11">
        <f t="shared" si="0"/>
        <v>100.51322101974785</v>
      </c>
      <c r="I15" t="s">
        <v>254</v>
      </c>
    </row>
    <row r="16" spans="1:14" x14ac:dyDescent="0.3">
      <c r="A16" s="6" t="s">
        <v>35</v>
      </c>
      <c r="B16" s="6" t="s">
        <v>116</v>
      </c>
      <c r="C16" s="6">
        <v>8645</v>
      </c>
      <c r="D16" s="6">
        <v>8210</v>
      </c>
      <c r="E16" s="5">
        <v>45183</v>
      </c>
      <c r="F16" s="6" t="s">
        <v>117</v>
      </c>
      <c r="G16" s="11">
        <f t="shared" si="0"/>
        <v>105.29841656516443</v>
      </c>
      <c r="I16" s="2" t="s">
        <v>184</v>
      </c>
      <c r="J16" t="s">
        <v>260</v>
      </c>
    </row>
    <row r="17" spans="1:13" x14ac:dyDescent="0.3">
      <c r="A17" s="6" t="s">
        <v>126</v>
      </c>
      <c r="B17" s="6" t="s">
        <v>124</v>
      </c>
      <c r="C17" s="6">
        <v>2694</v>
      </c>
      <c r="D17" s="6">
        <v>7831</v>
      </c>
      <c r="E17" s="5">
        <v>45233</v>
      </c>
      <c r="F17" s="6" t="s">
        <v>123</v>
      </c>
      <c r="G17" s="11">
        <f t="shared" si="0"/>
        <v>34.401736687523943</v>
      </c>
      <c r="I17" s="3" t="s">
        <v>186</v>
      </c>
      <c r="J17">
        <v>3137</v>
      </c>
      <c r="M17" t="s">
        <v>258</v>
      </c>
    </row>
    <row r="18" spans="1:13" x14ac:dyDescent="0.3">
      <c r="A18" s="6" t="s">
        <v>118</v>
      </c>
      <c r="B18" s="6" t="s">
        <v>124</v>
      </c>
      <c r="C18" s="6">
        <v>3568</v>
      </c>
      <c r="D18" s="6">
        <v>6065</v>
      </c>
      <c r="E18" s="5">
        <v>45128</v>
      </c>
      <c r="F18" s="6" t="s">
        <v>117</v>
      </c>
      <c r="G18" s="11">
        <f t="shared" si="0"/>
        <v>58.82934872217642</v>
      </c>
      <c r="I18" s="3" t="s">
        <v>187</v>
      </c>
      <c r="J18">
        <v>1399</v>
      </c>
    </row>
    <row r="19" spans="1:13" x14ac:dyDescent="0.3">
      <c r="A19" s="6" t="s">
        <v>121</v>
      </c>
      <c r="B19" s="6" t="s">
        <v>119</v>
      </c>
      <c r="C19" s="6">
        <v>7045</v>
      </c>
      <c r="D19" s="6">
        <v>14543</v>
      </c>
      <c r="E19" s="5">
        <v>45210</v>
      </c>
      <c r="F19" s="6" t="s">
        <v>123</v>
      </c>
      <c r="G19" s="11">
        <f t="shared" si="0"/>
        <v>48.442549680258544</v>
      </c>
      <c r="I19" s="3" t="s">
        <v>188</v>
      </c>
      <c r="J19">
        <v>2771</v>
      </c>
    </row>
    <row r="20" spans="1:13" x14ac:dyDescent="0.3">
      <c r="A20" s="6" t="s">
        <v>35</v>
      </c>
      <c r="B20" s="6" t="s">
        <v>116</v>
      </c>
      <c r="C20" s="6">
        <v>3754</v>
      </c>
      <c r="D20" s="6">
        <v>13533</v>
      </c>
      <c r="E20" s="5">
        <v>45041</v>
      </c>
      <c r="F20" s="6" t="s">
        <v>125</v>
      </c>
      <c r="G20" s="11">
        <f t="shared" si="0"/>
        <v>27.739599497524569</v>
      </c>
      <c r="I20" s="3" t="s">
        <v>189</v>
      </c>
      <c r="J20">
        <v>18690</v>
      </c>
    </row>
    <row r="21" spans="1:13" x14ac:dyDescent="0.3">
      <c r="A21" s="6" t="s">
        <v>118</v>
      </c>
      <c r="B21" s="6" t="s">
        <v>119</v>
      </c>
      <c r="C21" s="6">
        <v>6762</v>
      </c>
      <c r="D21" s="6">
        <v>5074</v>
      </c>
      <c r="E21" s="5">
        <v>45130</v>
      </c>
      <c r="F21" s="6" t="s">
        <v>125</v>
      </c>
      <c r="G21" s="11">
        <f t="shared" si="0"/>
        <v>133.26763894363421</v>
      </c>
      <c r="I21" s="3" t="s">
        <v>190</v>
      </c>
      <c r="J21">
        <v>7390</v>
      </c>
    </row>
    <row r="22" spans="1:13" x14ac:dyDescent="0.3">
      <c r="A22" s="6" t="s">
        <v>118</v>
      </c>
      <c r="B22" s="6" t="s">
        <v>119</v>
      </c>
      <c r="C22" s="6">
        <v>5297</v>
      </c>
      <c r="D22" s="6">
        <v>10525</v>
      </c>
      <c r="E22" s="5">
        <v>45158</v>
      </c>
      <c r="F22" s="6" t="s">
        <v>117</v>
      </c>
      <c r="G22" s="11">
        <f t="shared" si="0"/>
        <v>50.327790973871736</v>
      </c>
      <c r="I22" s="3" t="s">
        <v>191</v>
      </c>
      <c r="J22">
        <v>6608</v>
      </c>
    </row>
    <row r="23" spans="1:13" x14ac:dyDescent="0.3">
      <c r="A23" s="6" t="s">
        <v>126</v>
      </c>
      <c r="B23" s="6" t="s">
        <v>124</v>
      </c>
      <c r="C23" s="6">
        <v>3504</v>
      </c>
      <c r="D23" s="6">
        <v>5695</v>
      </c>
      <c r="E23" s="5">
        <v>45066</v>
      </c>
      <c r="F23" s="6" t="s">
        <v>125</v>
      </c>
      <c r="G23" s="11">
        <f t="shared" si="0"/>
        <v>61.527655838454784</v>
      </c>
      <c r="I23" s="3" t="s">
        <v>192</v>
      </c>
      <c r="J23">
        <v>40058</v>
      </c>
    </row>
    <row r="24" spans="1:13" x14ac:dyDescent="0.3">
      <c r="A24" s="6" t="s">
        <v>118</v>
      </c>
      <c r="B24" s="6" t="s">
        <v>122</v>
      </c>
      <c r="C24" s="6">
        <v>6705</v>
      </c>
      <c r="D24" s="6">
        <v>8911</v>
      </c>
      <c r="E24" s="5">
        <v>45177</v>
      </c>
      <c r="F24" s="6" t="s">
        <v>117</v>
      </c>
      <c r="G24" s="11">
        <f t="shared" si="0"/>
        <v>75.244080350129053</v>
      </c>
      <c r="I24" s="3" t="s">
        <v>193</v>
      </c>
      <c r="J24">
        <v>21858</v>
      </c>
    </row>
    <row r="25" spans="1:13" x14ac:dyDescent="0.3">
      <c r="A25" s="6" t="s">
        <v>126</v>
      </c>
      <c r="B25" s="6" t="s">
        <v>122</v>
      </c>
      <c r="C25" s="6">
        <v>5364</v>
      </c>
      <c r="D25" s="6">
        <v>8292</v>
      </c>
      <c r="E25" s="5">
        <v>45280</v>
      </c>
      <c r="F25" s="6" t="s">
        <v>125</v>
      </c>
      <c r="G25" s="11">
        <f t="shared" si="0"/>
        <v>64.688856729377719</v>
      </c>
      <c r="I25" s="3" t="s">
        <v>194</v>
      </c>
      <c r="J25">
        <v>23100</v>
      </c>
    </row>
    <row r="26" spans="1:13" x14ac:dyDescent="0.3">
      <c r="A26" s="6" t="s">
        <v>121</v>
      </c>
      <c r="B26" s="6" t="s">
        <v>119</v>
      </c>
      <c r="C26" s="6">
        <v>2771</v>
      </c>
      <c r="D26" s="6">
        <v>14172</v>
      </c>
      <c r="E26" s="5">
        <v>45003</v>
      </c>
      <c r="F26" s="6" t="s">
        <v>120</v>
      </c>
      <c r="G26" s="11">
        <f t="shared" si="0"/>
        <v>19.552639006491674</v>
      </c>
      <c r="I26" s="3" t="s">
        <v>195</v>
      </c>
      <c r="J26">
        <v>7045</v>
      </c>
    </row>
    <row r="27" spans="1:13" x14ac:dyDescent="0.3">
      <c r="A27" s="6" t="s">
        <v>118</v>
      </c>
      <c r="B27" s="6" t="s">
        <v>122</v>
      </c>
      <c r="C27" s="6">
        <v>3886</v>
      </c>
      <c r="D27" s="6">
        <v>5220</v>
      </c>
      <c r="E27" s="5">
        <v>45063</v>
      </c>
      <c r="F27" s="6" t="s">
        <v>120</v>
      </c>
      <c r="G27" s="11">
        <f t="shared" si="0"/>
        <v>74.444444444444443</v>
      </c>
      <c r="I27" s="3" t="s">
        <v>196</v>
      </c>
      <c r="J27">
        <v>12382</v>
      </c>
    </row>
    <row r="28" spans="1:13" x14ac:dyDescent="0.3">
      <c r="A28" s="6" t="s">
        <v>118</v>
      </c>
      <c r="B28" s="6" t="s">
        <v>119</v>
      </c>
      <c r="C28" s="6">
        <v>7567</v>
      </c>
      <c r="D28" s="6">
        <v>13183</v>
      </c>
      <c r="E28" s="5">
        <v>45259</v>
      </c>
      <c r="F28" s="6" t="s">
        <v>117</v>
      </c>
      <c r="G28" s="11">
        <f t="shared" si="0"/>
        <v>57.399681407873778</v>
      </c>
      <c r="I28" s="3" t="s">
        <v>197</v>
      </c>
      <c r="J28">
        <v>10423</v>
      </c>
    </row>
    <row r="29" spans="1:13" x14ac:dyDescent="0.3">
      <c r="A29" s="6" t="s">
        <v>35</v>
      </c>
      <c r="B29" s="6" t="s">
        <v>119</v>
      </c>
      <c r="C29" s="6">
        <v>4229</v>
      </c>
      <c r="D29" s="6">
        <v>7593</v>
      </c>
      <c r="E29" s="5">
        <v>45118</v>
      </c>
      <c r="F29" s="6" t="s">
        <v>125</v>
      </c>
      <c r="G29" s="11">
        <f t="shared" si="0"/>
        <v>55.696035822468062</v>
      </c>
      <c r="M29" t="s">
        <v>259</v>
      </c>
    </row>
    <row r="30" spans="1:13" x14ac:dyDescent="0.3">
      <c r="A30" s="6" t="s">
        <v>35</v>
      </c>
      <c r="B30" s="6" t="s">
        <v>122</v>
      </c>
      <c r="C30" s="6">
        <v>3656</v>
      </c>
      <c r="D30" s="6">
        <v>14541</v>
      </c>
      <c r="E30" s="5">
        <v>45277</v>
      </c>
      <c r="F30" s="6" t="s">
        <v>120</v>
      </c>
      <c r="G30" s="11">
        <f t="shared" si="0"/>
        <v>25.142699951860259</v>
      </c>
      <c r="I30" t="s">
        <v>255</v>
      </c>
    </row>
    <row r="31" spans="1:13" x14ac:dyDescent="0.3">
      <c r="A31" s="6" t="s">
        <v>121</v>
      </c>
      <c r="B31" s="6" t="s">
        <v>119</v>
      </c>
      <c r="C31" s="6">
        <v>8425</v>
      </c>
      <c r="D31" s="6">
        <v>12388</v>
      </c>
      <c r="E31" s="5">
        <v>45120</v>
      </c>
      <c r="F31" s="6" t="s">
        <v>120</v>
      </c>
      <c r="G31" s="11">
        <f t="shared" si="0"/>
        <v>68.009363900548919</v>
      </c>
      <c r="I31" s="2" t="s">
        <v>184</v>
      </c>
      <c r="J31" t="s">
        <v>260</v>
      </c>
    </row>
    <row r="32" spans="1:13" x14ac:dyDescent="0.3">
      <c r="A32" s="6"/>
      <c r="B32" s="6"/>
      <c r="C32" s="6"/>
      <c r="D32" s="6"/>
      <c r="E32" s="6" t="s">
        <v>257</v>
      </c>
      <c r="F32" s="6"/>
      <c r="G32" s="6"/>
      <c r="I32" s="3" t="s">
        <v>120</v>
      </c>
      <c r="J32">
        <v>44382</v>
      </c>
    </row>
    <row r="33" spans="9:10" x14ac:dyDescent="0.3">
      <c r="I33" s="3" t="s">
        <v>125</v>
      </c>
      <c r="J33">
        <v>41850</v>
      </c>
    </row>
    <row r="34" spans="9:10" x14ac:dyDescent="0.3">
      <c r="I34" s="3" t="s">
        <v>117</v>
      </c>
      <c r="J34">
        <v>42605</v>
      </c>
    </row>
    <row r="35" spans="9:10" x14ac:dyDescent="0.3">
      <c r="I35" s="3" t="s">
        <v>123</v>
      </c>
      <c r="J35">
        <v>26024</v>
      </c>
    </row>
    <row r="38" spans="9:10" x14ac:dyDescent="0.3">
      <c r="I38" s="8"/>
    </row>
    <row r="40" spans="9:10" x14ac:dyDescent="0.3">
      <c r="I40" s="8"/>
    </row>
    <row r="42" spans="9:10" x14ac:dyDescent="0.3">
      <c r="J42" s="8"/>
    </row>
  </sheetData>
  <conditionalFormatting sqref="G2:G31">
    <cfRule type="colorScale" priority="1">
      <colorScale>
        <cfvo type="min"/>
        <cfvo type="percentile" val="50"/>
        <cfvo type="max"/>
        <color rgb="FF63BE7B"/>
        <color rgb="FFFFEB84"/>
        <color rgb="FFF8696B"/>
      </colorScale>
    </cfRule>
  </conditionalFormatting>
  <pageMargins left="0.75" right="0.75" top="1" bottom="1" header="0.5" footer="0.5"/>
  <drawing r:id="rId6"/>
  <extLs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7"/>
  <sheetViews>
    <sheetView tabSelected="1" topLeftCell="E1" workbookViewId="0">
      <selection activeCell="S16" sqref="S16"/>
    </sheetView>
  </sheetViews>
  <sheetFormatPr defaultRowHeight="14.4" x14ac:dyDescent="0.3"/>
  <cols>
    <col min="8" max="8" width="16.21875" customWidth="1"/>
    <col min="9" max="9" width="14.21875" customWidth="1"/>
    <col min="13" max="16" width="15.5546875" bestFit="1" customWidth="1"/>
    <col min="17" max="17" width="12.44140625" bestFit="1" customWidth="1"/>
    <col min="18" max="22" width="10" bestFit="1" customWidth="1"/>
    <col min="23" max="23" width="12.6640625" bestFit="1" customWidth="1"/>
    <col min="24" max="24" width="10.77734375" bestFit="1" customWidth="1"/>
  </cols>
  <sheetData>
    <row r="1" spans="1:14" x14ac:dyDescent="0.3">
      <c r="A1" s="1" t="s">
        <v>127</v>
      </c>
      <c r="B1" s="1" t="s">
        <v>128</v>
      </c>
      <c r="C1" s="1" t="s">
        <v>129</v>
      </c>
      <c r="D1" s="1" t="s">
        <v>130</v>
      </c>
      <c r="E1" s="1" t="s">
        <v>3</v>
      </c>
      <c r="F1" s="1" t="s">
        <v>131</v>
      </c>
      <c r="G1" s="1" t="s">
        <v>132</v>
      </c>
      <c r="H1" s="1" t="s">
        <v>133</v>
      </c>
      <c r="J1" t="s">
        <v>263</v>
      </c>
      <c r="N1" t="s">
        <v>267</v>
      </c>
    </row>
    <row r="2" spans="1:14" x14ac:dyDescent="0.3">
      <c r="A2" s="6" t="s">
        <v>134</v>
      </c>
      <c r="B2" s="6" t="s">
        <v>135</v>
      </c>
      <c r="C2" s="5">
        <v>45049</v>
      </c>
      <c r="D2" s="5">
        <v>45056</v>
      </c>
      <c r="E2" s="6" t="s">
        <v>136</v>
      </c>
      <c r="F2" s="6">
        <v>6604</v>
      </c>
      <c r="G2" s="6" t="s">
        <v>137</v>
      </c>
      <c r="H2" s="6">
        <v>7</v>
      </c>
      <c r="J2" s="2" t="s">
        <v>271</v>
      </c>
      <c r="K2" s="2" t="s">
        <v>182</v>
      </c>
    </row>
    <row r="3" spans="1:14" x14ac:dyDescent="0.3">
      <c r="A3" s="6" t="s">
        <v>138</v>
      </c>
      <c r="B3" s="6" t="s">
        <v>135</v>
      </c>
      <c r="C3" s="5">
        <v>45065</v>
      </c>
      <c r="D3" s="5">
        <v>45066</v>
      </c>
      <c r="E3" s="6" t="s">
        <v>139</v>
      </c>
      <c r="F3" s="6">
        <v>32671</v>
      </c>
      <c r="G3" s="6" t="s">
        <v>137</v>
      </c>
      <c r="H3" s="6">
        <v>1</v>
      </c>
      <c r="J3" s="2" t="s">
        <v>184</v>
      </c>
      <c r="K3" t="s">
        <v>146</v>
      </c>
      <c r="L3" t="s">
        <v>137</v>
      </c>
    </row>
    <row r="4" spans="1:14" x14ac:dyDescent="0.3">
      <c r="A4" s="6" t="s">
        <v>140</v>
      </c>
      <c r="B4" s="6" t="s">
        <v>141</v>
      </c>
      <c r="C4" s="5">
        <v>44977</v>
      </c>
      <c r="D4" s="5">
        <v>44983</v>
      </c>
      <c r="E4" s="6" t="s">
        <v>139</v>
      </c>
      <c r="F4" s="6">
        <v>38799</v>
      </c>
      <c r="G4" s="6" t="s">
        <v>137</v>
      </c>
      <c r="H4" s="6">
        <v>6</v>
      </c>
      <c r="J4" s="3" t="s">
        <v>135</v>
      </c>
      <c r="L4">
        <v>5</v>
      </c>
    </row>
    <row r="5" spans="1:14" x14ac:dyDescent="0.3">
      <c r="A5" s="6" t="s">
        <v>142</v>
      </c>
      <c r="B5" s="6" t="s">
        <v>143</v>
      </c>
      <c r="C5" s="5">
        <v>45200</v>
      </c>
      <c r="D5" s="5">
        <v>45203</v>
      </c>
      <c r="E5" s="6" t="s">
        <v>144</v>
      </c>
      <c r="F5" s="6">
        <v>40016</v>
      </c>
      <c r="G5" s="6" t="s">
        <v>137</v>
      </c>
      <c r="H5" s="6">
        <v>3</v>
      </c>
      <c r="J5" s="3" t="s">
        <v>159</v>
      </c>
      <c r="K5">
        <v>3</v>
      </c>
      <c r="L5">
        <v>2</v>
      </c>
    </row>
    <row r="6" spans="1:14" x14ac:dyDescent="0.3">
      <c r="A6" s="6" t="s">
        <v>145</v>
      </c>
      <c r="B6" s="6" t="s">
        <v>143</v>
      </c>
      <c r="C6" s="5">
        <v>45223</v>
      </c>
      <c r="D6" s="5">
        <v>45233</v>
      </c>
      <c r="E6" s="6" t="s">
        <v>139</v>
      </c>
      <c r="F6" s="6">
        <v>15591</v>
      </c>
      <c r="G6" s="6" t="s">
        <v>146</v>
      </c>
      <c r="H6" s="6">
        <v>10</v>
      </c>
      <c r="J6" s="3" t="s">
        <v>143</v>
      </c>
      <c r="K6">
        <v>6</v>
      </c>
      <c r="L6">
        <v>3</v>
      </c>
    </row>
    <row r="7" spans="1:14" x14ac:dyDescent="0.3">
      <c r="A7" s="6" t="s">
        <v>147</v>
      </c>
      <c r="B7" s="6" t="s">
        <v>148</v>
      </c>
      <c r="C7" s="5">
        <v>45238</v>
      </c>
      <c r="D7" s="5">
        <v>45243</v>
      </c>
      <c r="E7" s="6" t="s">
        <v>149</v>
      </c>
      <c r="F7" s="6">
        <v>6929</v>
      </c>
      <c r="G7" s="6" t="s">
        <v>146</v>
      </c>
      <c r="H7" s="6">
        <v>5</v>
      </c>
      <c r="J7" s="3" t="s">
        <v>148</v>
      </c>
      <c r="K7">
        <v>1</v>
      </c>
      <c r="L7">
        <v>3</v>
      </c>
    </row>
    <row r="8" spans="1:14" x14ac:dyDescent="0.3">
      <c r="A8" s="6" t="s">
        <v>150</v>
      </c>
      <c r="B8" s="6" t="s">
        <v>141</v>
      </c>
      <c r="C8" s="5">
        <v>45111</v>
      </c>
      <c r="D8" s="5">
        <v>45120</v>
      </c>
      <c r="E8" s="6" t="s">
        <v>139</v>
      </c>
      <c r="F8" s="6">
        <v>32236</v>
      </c>
      <c r="G8" s="6" t="s">
        <v>137</v>
      </c>
      <c r="H8" s="6">
        <v>9</v>
      </c>
      <c r="J8" s="3" t="s">
        <v>141</v>
      </c>
      <c r="K8">
        <v>3</v>
      </c>
      <c r="L8">
        <v>4</v>
      </c>
    </row>
    <row r="9" spans="1:14" x14ac:dyDescent="0.3">
      <c r="A9" s="6" t="s">
        <v>151</v>
      </c>
      <c r="B9" s="6" t="s">
        <v>141</v>
      </c>
      <c r="C9" s="5">
        <v>45143</v>
      </c>
      <c r="D9" s="5">
        <v>45153</v>
      </c>
      <c r="E9" s="6" t="s">
        <v>136</v>
      </c>
      <c r="F9" s="6">
        <v>7082</v>
      </c>
      <c r="G9" s="6" t="s">
        <v>137</v>
      </c>
      <c r="H9" s="6">
        <v>10</v>
      </c>
    </row>
    <row r="10" spans="1:14" x14ac:dyDescent="0.3">
      <c r="A10" s="6" t="s">
        <v>152</v>
      </c>
      <c r="B10" s="6" t="s">
        <v>148</v>
      </c>
      <c r="C10" s="5">
        <v>45125</v>
      </c>
      <c r="D10" s="5">
        <v>45132</v>
      </c>
      <c r="E10" s="6" t="s">
        <v>136</v>
      </c>
      <c r="F10" s="6">
        <v>40232</v>
      </c>
      <c r="G10" s="6" t="s">
        <v>137</v>
      </c>
      <c r="H10" s="6">
        <v>7</v>
      </c>
      <c r="J10" t="s">
        <v>264</v>
      </c>
    </row>
    <row r="11" spans="1:14" x14ac:dyDescent="0.3">
      <c r="A11" s="6" t="s">
        <v>153</v>
      </c>
      <c r="B11" s="6" t="s">
        <v>135</v>
      </c>
      <c r="C11" s="5">
        <v>45199</v>
      </c>
      <c r="D11" s="5">
        <v>45206</v>
      </c>
      <c r="E11" s="6" t="s">
        <v>144</v>
      </c>
      <c r="F11" s="6">
        <v>34502</v>
      </c>
      <c r="G11" s="6" t="s">
        <v>137</v>
      </c>
      <c r="H11" s="6">
        <v>7</v>
      </c>
      <c r="J11" s="2" t="s">
        <v>184</v>
      </c>
      <c r="K11" t="s">
        <v>272</v>
      </c>
    </row>
    <row r="12" spans="1:14" x14ac:dyDescent="0.3">
      <c r="A12" s="6" t="s">
        <v>154</v>
      </c>
      <c r="B12" s="6" t="s">
        <v>141</v>
      </c>
      <c r="C12" s="5">
        <v>45068</v>
      </c>
      <c r="D12" s="5">
        <v>45070</v>
      </c>
      <c r="E12" s="6" t="s">
        <v>149</v>
      </c>
      <c r="F12" s="6">
        <v>22818</v>
      </c>
      <c r="G12" s="6" t="s">
        <v>146</v>
      </c>
      <c r="H12" s="6">
        <v>2</v>
      </c>
      <c r="J12" s="3" t="s">
        <v>139</v>
      </c>
      <c r="K12" s="9">
        <v>5.3</v>
      </c>
    </row>
    <row r="13" spans="1:14" x14ac:dyDescent="0.3">
      <c r="A13" s="6" t="s">
        <v>155</v>
      </c>
      <c r="B13" s="6" t="s">
        <v>143</v>
      </c>
      <c r="C13" s="5">
        <v>45207</v>
      </c>
      <c r="D13" s="5">
        <v>45217</v>
      </c>
      <c r="E13" s="6" t="s">
        <v>144</v>
      </c>
      <c r="F13" s="6">
        <v>45236</v>
      </c>
      <c r="G13" s="6" t="s">
        <v>146</v>
      </c>
      <c r="H13" s="6">
        <v>10</v>
      </c>
      <c r="J13" s="3" t="s">
        <v>149</v>
      </c>
      <c r="K13" s="9">
        <v>5.4285714285714288</v>
      </c>
    </row>
    <row r="14" spans="1:14" x14ac:dyDescent="0.3">
      <c r="A14" s="6" t="s">
        <v>156</v>
      </c>
      <c r="B14" s="6" t="s">
        <v>148</v>
      </c>
      <c r="C14" s="5">
        <v>45130</v>
      </c>
      <c r="D14" s="5">
        <v>45137</v>
      </c>
      <c r="E14" s="6" t="s">
        <v>149</v>
      </c>
      <c r="F14" s="6">
        <v>47188</v>
      </c>
      <c r="G14" s="6" t="s">
        <v>137</v>
      </c>
      <c r="H14" s="6">
        <v>7</v>
      </c>
      <c r="J14" s="3" t="s">
        <v>144</v>
      </c>
      <c r="K14" s="9">
        <v>5.25</v>
      </c>
    </row>
    <row r="15" spans="1:14" x14ac:dyDescent="0.3">
      <c r="A15" s="6" t="s">
        <v>157</v>
      </c>
      <c r="B15" s="6" t="s">
        <v>143</v>
      </c>
      <c r="C15" s="5">
        <v>45182</v>
      </c>
      <c r="D15" s="5">
        <v>45188</v>
      </c>
      <c r="E15" s="6" t="s">
        <v>149</v>
      </c>
      <c r="F15" s="6">
        <v>40135</v>
      </c>
      <c r="G15" s="6" t="s">
        <v>146</v>
      </c>
      <c r="H15" s="6">
        <v>6</v>
      </c>
      <c r="J15" s="3" t="s">
        <v>136</v>
      </c>
      <c r="K15" s="9">
        <v>7.1111111111111107</v>
      </c>
      <c r="N15" t="s">
        <v>268</v>
      </c>
    </row>
    <row r="16" spans="1:14" x14ac:dyDescent="0.3">
      <c r="A16" s="6" t="s">
        <v>158</v>
      </c>
      <c r="B16" s="6" t="s">
        <v>159</v>
      </c>
      <c r="C16" s="5">
        <v>45218</v>
      </c>
      <c r="D16" s="5">
        <v>45221</v>
      </c>
      <c r="E16" s="6" t="s">
        <v>139</v>
      </c>
      <c r="F16" s="6">
        <v>36682</v>
      </c>
      <c r="G16" s="6" t="s">
        <v>146</v>
      </c>
      <c r="H16" s="6">
        <v>3</v>
      </c>
      <c r="K16" s="9"/>
    </row>
    <row r="17" spans="1:14" x14ac:dyDescent="0.3">
      <c r="A17" s="6" t="s">
        <v>160</v>
      </c>
      <c r="B17" s="6" t="s">
        <v>143</v>
      </c>
      <c r="C17" s="5">
        <v>45006</v>
      </c>
      <c r="D17" s="5">
        <v>45013</v>
      </c>
      <c r="E17" s="6" t="s">
        <v>136</v>
      </c>
      <c r="F17" s="6">
        <v>14341</v>
      </c>
      <c r="G17" s="6" t="s">
        <v>146</v>
      </c>
      <c r="H17" s="6">
        <v>7</v>
      </c>
      <c r="J17" t="s">
        <v>265</v>
      </c>
    </row>
    <row r="18" spans="1:14" x14ac:dyDescent="0.3">
      <c r="A18" s="6" t="s">
        <v>161</v>
      </c>
      <c r="B18" s="6" t="s">
        <v>159</v>
      </c>
      <c r="C18" s="5">
        <v>45135</v>
      </c>
      <c r="D18" s="5">
        <v>45141</v>
      </c>
      <c r="E18" s="6" t="s">
        <v>149</v>
      </c>
      <c r="F18" s="6">
        <v>20862</v>
      </c>
      <c r="G18" s="6" t="s">
        <v>146</v>
      </c>
      <c r="H18" s="6">
        <v>6</v>
      </c>
      <c r="J18" s="2" t="s">
        <v>184</v>
      </c>
      <c r="K18" t="s">
        <v>273</v>
      </c>
      <c r="L18" t="s">
        <v>274</v>
      </c>
    </row>
    <row r="19" spans="1:14" x14ac:dyDescent="0.3">
      <c r="A19" s="6" t="s">
        <v>162</v>
      </c>
      <c r="B19" s="6" t="s">
        <v>143</v>
      </c>
      <c r="C19" s="5">
        <v>44958</v>
      </c>
      <c r="D19" s="5">
        <v>44959</v>
      </c>
      <c r="E19" s="6" t="s">
        <v>139</v>
      </c>
      <c r="F19" s="6">
        <v>46396</v>
      </c>
      <c r="G19" s="6" t="s">
        <v>137</v>
      </c>
      <c r="H19" s="6">
        <v>1</v>
      </c>
      <c r="J19" s="3" t="s">
        <v>187</v>
      </c>
      <c r="K19" s="9">
        <v>3</v>
      </c>
      <c r="L19" s="9">
        <v>91056</v>
      </c>
    </row>
    <row r="20" spans="1:14" x14ac:dyDescent="0.3">
      <c r="A20" s="6" t="s">
        <v>163</v>
      </c>
      <c r="B20" s="6" t="s">
        <v>141</v>
      </c>
      <c r="C20" s="5">
        <v>45196</v>
      </c>
      <c r="D20" s="5">
        <v>45197</v>
      </c>
      <c r="E20" s="6" t="s">
        <v>139</v>
      </c>
      <c r="F20" s="6">
        <v>13146</v>
      </c>
      <c r="G20" s="6" t="s">
        <v>146</v>
      </c>
      <c r="H20" s="6">
        <v>1</v>
      </c>
      <c r="J20" s="3" t="s">
        <v>188</v>
      </c>
      <c r="K20" s="9">
        <v>1</v>
      </c>
      <c r="L20" s="9">
        <v>14341</v>
      </c>
    </row>
    <row r="21" spans="1:14" x14ac:dyDescent="0.3">
      <c r="A21" s="6" t="s">
        <v>164</v>
      </c>
      <c r="B21" s="6" t="s">
        <v>159</v>
      </c>
      <c r="C21" s="5">
        <v>45253</v>
      </c>
      <c r="D21" s="5">
        <v>45261</v>
      </c>
      <c r="E21" s="6" t="s">
        <v>136</v>
      </c>
      <c r="F21" s="6">
        <v>30201</v>
      </c>
      <c r="G21" s="6" t="s">
        <v>137</v>
      </c>
      <c r="H21" s="6">
        <v>8</v>
      </c>
      <c r="J21" s="3" t="s">
        <v>189</v>
      </c>
      <c r="K21" s="9">
        <v>1</v>
      </c>
      <c r="L21" s="9">
        <v>43861</v>
      </c>
    </row>
    <row r="22" spans="1:14" x14ac:dyDescent="0.3">
      <c r="A22" s="6" t="s">
        <v>165</v>
      </c>
      <c r="B22" s="6" t="s">
        <v>159</v>
      </c>
      <c r="C22" s="5">
        <v>45090</v>
      </c>
      <c r="D22" s="5">
        <v>45096</v>
      </c>
      <c r="E22" s="6" t="s">
        <v>139</v>
      </c>
      <c r="F22" s="6">
        <v>14442</v>
      </c>
      <c r="G22" s="6" t="s">
        <v>146</v>
      </c>
      <c r="H22" s="6">
        <v>6</v>
      </c>
      <c r="J22" s="3" t="s">
        <v>190</v>
      </c>
      <c r="K22" s="9">
        <v>5</v>
      </c>
      <c r="L22" s="9">
        <v>115886</v>
      </c>
    </row>
    <row r="23" spans="1:14" x14ac:dyDescent="0.3">
      <c r="A23" s="6" t="s">
        <v>166</v>
      </c>
      <c r="B23" s="6" t="s">
        <v>135</v>
      </c>
      <c r="C23" s="5">
        <v>45039</v>
      </c>
      <c r="D23" s="5">
        <v>45049</v>
      </c>
      <c r="E23" s="6" t="s">
        <v>136</v>
      </c>
      <c r="F23" s="6">
        <v>43861</v>
      </c>
      <c r="G23" s="6" t="s">
        <v>137</v>
      </c>
      <c r="H23" s="6">
        <v>10</v>
      </c>
      <c r="J23" s="3" t="s">
        <v>191</v>
      </c>
      <c r="K23" s="9">
        <v>2</v>
      </c>
      <c r="L23" s="9">
        <v>45803</v>
      </c>
    </row>
    <row r="24" spans="1:14" x14ac:dyDescent="0.3">
      <c r="A24" s="6" t="s">
        <v>167</v>
      </c>
      <c r="B24" s="6" t="s">
        <v>143</v>
      </c>
      <c r="C24" s="5">
        <v>45141</v>
      </c>
      <c r="D24" s="5">
        <v>45148</v>
      </c>
      <c r="E24" s="6" t="s">
        <v>139</v>
      </c>
      <c r="F24" s="6">
        <v>8349</v>
      </c>
      <c r="G24" s="6" t="s">
        <v>146</v>
      </c>
      <c r="H24" s="6">
        <v>7</v>
      </c>
      <c r="J24" s="3" t="s">
        <v>192</v>
      </c>
      <c r="K24" s="9">
        <v>4</v>
      </c>
      <c r="L24" s="9">
        <v>140518</v>
      </c>
    </row>
    <row r="25" spans="1:14" x14ac:dyDescent="0.3">
      <c r="A25" s="6" t="s">
        <v>168</v>
      </c>
      <c r="B25" s="6" t="s">
        <v>141</v>
      </c>
      <c r="C25" s="5">
        <v>45071</v>
      </c>
      <c r="D25" s="5">
        <v>45072</v>
      </c>
      <c r="E25" s="6" t="s">
        <v>144</v>
      </c>
      <c r="F25" s="6">
        <v>5730</v>
      </c>
      <c r="G25" s="6" t="s">
        <v>137</v>
      </c>
      <c r="H25" s="6">
        <v>1</v>
      </c>
      <c r="J25" s="3" t="s">
        <v>193</v>
      </c>
      <c r="K25" s="9">
        <v>2</v>
      </c>
      <c r="L25" s="9">
        <v>15431</v>
      </c>
    </row>
    <row r="26" spans="1:14" x14ac:dyDescent="0.3">
      <c r="A26" s="6" t="s">
        <v>169</v>
      </c>
      <c r="B26" s="6" t="s">
        <v>143</v>
      </c>
      <c r="C26" s="5">
        <v>45050</v>
      </c>
      <c r="D26" s="5">
        <v>45057</v>
      </c>
      <c r="E26" s="6" t="s">
        <v>136</v>
      </c>
      <c r="F26" s="6">
        <v>48063</v>
      </c>
      <c r="G26" s="6" t="s">
        <v>146</v>
      </c>
      <c r="H26" s="6">
        <v>7</v>
      </c>
      <c r="J26" s="3" t="s">
        <v>194</v>
      </c>
      <c r="K26" s="9">
        <v>3</v>
      </c>
      <c r="L26" s="9">
        <v>87783</v>
      </c>
    </row>
    <row r="27" spans="1:14" x14ac:dyDescent="0.3">
      <c r="A27" s="6" t="s">
        <v>170</v>
      </c>
      <c r="B27" s="6" t="s">
        <v>135</v>
      </c>
      <c r="C27" s="5">
        <v>45211</v>
      </c>
      <c r="D27" s="5">
        <v>45213</v>
      </c>
      <c r="E27" s="6" t="s">
        <v>136</v>
      </c>
      <c r="F27" s="6">
        <v>12868</v>
      </c>
      <c r="G27" s="6" t="s">
        <v>137</v>
      </c>
      <c r="H27" s="6">
        <v>2</v>
      </c>
      <c r="J27" s="3" t="s">
        <v>195</v>
      </c>
      <c r="K27" s="9">
        <v>5</v>
      </c>
      <c r="L27" s="9">
        <v>150393</v>
      </c>
      <c r="N27" t="s">
        <v>269</v>
      </c>
    </row>
    <row r="28" spans="1:14" x14ac:dyDescent="0.3">
      <c r="A28" s="6" t="s">
        <v>171</v>
      </c>
      <c r="B28" s="6" t="s">
        <v>148</v>
      </c>
      <c r="C28" s="5">
        <v>45081</v>
      </c>
      <c r="D28" s="5">
        <v>45090</v>
      </c>
      <c r="E28" s="6" t="s">
        <v>139</v>
      </c>
      <c r="F28" s="6">
        <v>31361</v>
      </c>
      <c r="G28" s="6" t="s">
        <v>137</v>
      </c>
      <c r="H28" s="6">
        <v>9</v>
      </c>
      <c r="J28" s="3" t="s">
        <v>196</v>
      </c>
      <c r="K28" s="9">
        <v>4</v>
      </c>
      <c r="L28" s="9">
        <v>80469</v>
      </c>
      <c r="N28" t="s">
        <v>270</v>
      </c>
    </row>
    <row r="29" spans="1:14" x14ac:dyDescent="0.3">
      <c r="A29" s="6" t="s">
        <v>172</v>
      </c>
      <c r="B29" s="6" t="s">
        <v>141</v>
      </c>
      <c r="C29" s="5">
        <v>44982</v>
      </c>
      <c r="D29" s="5">
        <v>44988</v>
      </c>
      <c r="E29" s="6" t="s">
        <v>136</v>
      </c>
      <c r="F29" s="6">
        <v>5861</v>
      </c>
      <c r="G29" s="6" t="s">
        <v>146</v>
      </c>
      <c r="H29" s="6">
        <v>6</v>
      </c>
    </row>
    <row r="30" spans="1:14" x14ac:dyDescent="0.3">
      <c r="A30" s="6" t="s">
        <v>173</v>
      </c>
      <c r="B30" s="6" t="s">
        <v>159</v>
      </c>
      <c r="C30" s="5">
        <v>45236</v>
      </c>
      <c r="D30" s="5">
        <v>45245</v>
      </c>
      <c r="E30" s="6" t="s">
        <v>149</v>
      </c>
      <c r="F30" s="6">
        <v>30084</v>
      </c>
      <c r="G30" s="6" t="s">
        <v>137</v>
      </c>
      <c r="H30" s="6">
        <v>9</v>
      </c>
      <c r="J30" t="s">
        <v>266</v>
      </c>
    </row>
    <row r="31" spans="1:14" x14ac:dyDescent="0.3">
      <c r="A31" s="6" t="s">
        <v>174</v>
      </c>
      <c r="B31" s="6" t="s">
        <v>143</v>
      </c>
      <c r="C31" s="5">
        <v>45250</v>
      </c>
      <c r="D31" s="5">
        <v>45253</v>
      </c>
      <c r="E31" s="6" t="s">
        <v>149</v>
      </c>
      <c r="F31" s="6">
        <v>13255</v>
      </c>
      <c r="G31" s="6" t="s">
        <v>137</v>
      </c>
      <c r="H31" s="6">
        <v>3</v>
      </c>
      <c r="J31" s="2" t="s">
        <v>132</v>
      </c>
      <c r="K31" t="s">
        <v>146</v>
      </c>
    </row>
    <row r="33" spans="10:11" x14ac:dyDescent="0.3">
      <c r="J33" s="2" t="s">
        <v>184</v>
      </c>
      <c r="K33" t="s">
        <v>271</v>
      </c>
    </row>
    <row r="34" spans="10:11" x14ac:dyDescent="0.3">
      <c r="J34" s="3" t="s">
        <v>159</v>
      </c>
      <c r="K34" s="9">
        <v>3</v>
      </c>
    </row>
    <row r="35" spans="10:11" x14ac:dyDescent="0.3">
      <c r="J35" s="3" t="s">
        <v>143</v>
      </c>
      <c r="K35" s="9">
        <v>6</v>
      </c>
    </row>
    <row r="36" spans="10:11" x14ac:dyDescent="0.3">
      <c r="J36" s="3" t="s">
        <v>148</v>
      </c>
      <c r="K36" s="9">
        <v>1</v>
      </c>
    </row>
    <row r="37" spans="10:11" x14ac:dyDescent="0.3">
      <c r="J37" s="3" t="s">
        <v>141</v>
      </c>
      <c r="K37" s="9">
        <v>3</v>
      </c>
    </row>
  </sheetData>
  <pageMargins left="0.75" right="0.75" top="1" bottom="1" header="0.5" footer="0.5"/>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Analysis</vt:lpstr>
      <vt:lpstr>HR Attrition</vt:lpstr>
      <vt:lpstr>Inventory</vt:lpstr>
      <vt:lpstr>Expense Tracking</vt:lpstr>
      <vt:lpstr>Customer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Snehal Genge</cp:lastModifiedBy>
  <dcterms:created xsi:type="dcterms:W3CDTF">2025-08-04T18:34:22Z</dcterms:created>
  <dcterms:modified xsi:type="dcterms:W3CDTF">2026-09-24T14:26:39Z</dcterms:modified>
</cp:coreProperties>
</file>