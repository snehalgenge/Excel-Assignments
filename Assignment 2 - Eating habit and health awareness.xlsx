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394F394-EB8D-4340-9BF1-2A7C3078BA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ating Habit And Health " sheetId="5" r:id="rId1"/>
  </sheets>
  <definedNames>
    <definedName name="ExternalData_3" localSheetId="0" hidden="1">'Eating Habit And Health '!$A$1:$P$31</definedName>
  </definedNames>
  <calcPr calcId="191029"/>
  <pivotCaches>
    <pivotCache cacheId="1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5" l="1"/>
  <c r="E43" i="5"/>
  <c r="E3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B9BF5B-BD15-481A-923A-7639DB944494}" keepAlive="1" name="Query - Form_Responses" description="Connection to the 'Form_Responses' query in the workbook." type="5" refreshedVersion="0" background="1">
    <dbPr connection="Provider=Microsoft.Mashup.OleDb.1;Data Source=$Workbook$;Location=Form_Responses;Extended Properties=&quot;&quot;" command="SELECT * FROM [Form_Responses]"/>
  </connection>
  <connection id="2" xr16:uid="{9EEEEE09-6842-4C73-BF05-6C68DAD79D2F}" keepAlive="1" name="Query - Form_Responses_1" description="Connection to the 'Form_Responses_1' query in the workbook." type="5" refreshedVersion="0" background="1">
    <dbPr connection="Provider=Microsoft.Mashup.OleDb.1;Data Source=$Workbook$;Location=Form_Responses_1;Extended Properties=&quot;&quot;" command="SELECT * FROM [Form_Responses_1]"/>
  </connection>
  <connection id="3" xr16:uid="{BE78C1CE-394E-4F99-AEA2-15DC55C41C98}" keepAlive="1" name="Query - Form_Responses_1_1" description="Connection to the 'Form_Responses_1_1' query in the workbook." type="5" refreshedVersion="8" background="1" saveData="1">
    <dbPr connection="Provider=Microsoft.Mashup.OleDb.1;Data Source=$Workbook$;Location=Form_Responses_1_1;Extended Properties=&quot;&quot;" command="SELECT * FROM [Form_Responses_1_1]"/>
  </connection>
</connections>
</file>

<file path=xl/sharedStrings.xml><?xml version="1.0" encoding="utf-8"?>
<sst xmlns="http://schemas.openxmlformats.org/spreadsheetml/2006/main" count="401" uniqueCount="135">
  <si>
    <t>Name</t>
  </si>
  <si>
    <t>Age</t>
  </si>
  <si>
    <t>Role in family</t>
  </si>
  <si>
    <t>Occupation</t>
  </si>
  <si>
    <t>Snehal Chandrashekhar Genge</t>
  </si>
  <si>
    <t>19–30</t>
  </si>
  <si>
    <t>Sibling</t>
  </si>
  <si>
    <t>Studying</t>
  </si>
  <si>
    <t>1800 - 2000</t>
  </si>
  <si>
    <t>60-80</t>
  </si>
  <si>
    <t>20-30</t>
  </si>
  <si>
    <t>Fruits</t>
  </si>
  <si>
    <t>Homemade Food</t>
  </si>
  <si>
    <t>No</t>
  </si>
  <si>
    <t>Yes</t>
  </si>
  <si>
    <t>we should eat on time</t>
  </si>
  <si>
    <t>Chandrashekhar Genge</t>
  </si>
  <si>
    <t>31–55</t>
  </si>
  <si>
    <t>Parent</t>
  </si>
  <si>
    <t>Farmer</t>
  </si>
  <si>
    <t>2200 - 2400</t>
  </si>
  <si>
    <t>Dairy products</t>
  </si>
  <si>
    <t>Eat Healthy</t>
  </si>
  <si>
    <t>Vijaymala Genge</t>
  </si>
  <si>
    <t>2000 - 2200</t>
  </si>
  <si>
    <t>Snacks</t>
  </si>
  <si>
    <t>Resturant Food</t>
  </si>
  <si>
    <t>eat well sleep well</t>
  </si>
  <si>
    <t>Vishvajit Genge</t>
  </si>
  <si>
    <t>Indian Army</t>
  </si>
  <si>
    <t>80-100</t>
  </si>
  <si>
    <t>Tea/Cofee</t>
  </si>
  <si>
    <t>balance diet</t>
  </si>
  <si>
    <t>Vijaykumar Genge</t>
  </si>
  <si>
    <t>Enterprenure</t>
  </si>
  <si>
    <t>homemade food</t>
  </si>
  <si>
    <t>Supriya Genge</t>
  </si>
  <si>
    <t>Teacher</t>
  </si>
  <si>
    <t>30-40</t>
  </si>
  <si>
    <t>consume fruits</t>
  </si>
  <si>
    <t>Anjana Genge</t>
  </si>
  <si>
    <t>Homemaker</t>
  </si>
  <si>
    <t>consume green more</t>
  </si>
  <si>
    <t>Sushila</t>
  </si>
  <si>
    <t>55+</t>
  </si>
  <si>
    <t>Grandparent</t>
  </si>
  <si>
    <t>40-60</t>
  </si>
  <si>
    <t>eat on time</t>
  </si>
  <si>
    <t>Shravani Patel</t>
  </si>
  <si>
    <t>11–18</t>
  </si>
  <si>
    <t>student</t>
  </si>
  <si>
    <t>Street Food</t>
  </si>
  <si>
    <t>Avoid fried food</t>
  </si>
  <si>
    <t>Sakshi  Mahesh</t>
  </si>
  <si>
    <t>working</t>
  </si>
  <si>
    <t>Sangram Nadkarni</t>
  </si>
  <si>
    <t>librarian</t>
  </si>
  <si>
    <t>balance food</t>
  </si>
  <si>
    <t>Komal Pakhiwala</t>
  </si>
  <si>
    <t>Clerck</t>
  </si>
  <si>
    <t>have protein more</t>
  </si>
  <si>
    <t>Sanjivani Jamadar</t>
  </si>
  <si>
    <t>Gynecologist</t>
  </si>
  <si>
    <t>Have food on time</t>
  </si>
  <si>
    <t>Sourabh Mangale</t>
  </si>
  <si>
    <t>Actor</t>
  </si>
  <si>
    <t>Radha Surve</t>
  </si>
  <si>
    <t>Sports student</t>
  </si>
  <si>
    <t>good food leads Greate energy</t>
  </si>
  <si>
    <t>sandhya mahe</t>
  </si>
  <si>
    <t>Job</t>
  </si>
  <si>
    <t>Eat well</t>
  </si>
  <si>
    <t>Shruti Gadekar</t>
  </si>
  <si>
    <t>Eat green</t>
  </si>
  <si>
    <t>Namrata Tokekar</t>
  </si>
  <si>
    <t>Student</t>
  </si>
  <si>
    <t>Stay healthy</t>
  </si>
  <si>
    <t>Sujal Gavde</t>
  </si>
  <si>
    <t>above 40</t>
  </si>
  <si>
    <t>Fried Food</t>
  </si>
  <si>
    <t>have protein based food</t>
  </si>
  <si>
    <t>Sangram Bhalerav</t>
  </si>
  <si>
    <t>Businessman</t>
  </si>
  <si>
    <t>Balanced diet</t>
  </si>
  <si>
    <t>Devidas Mohite</t>
  </si>
  <si>
    <t>Sportsman</t>
  </si>
  <si>
    <t>Pranali Aavalekar</t>
  </si>
  <si>
    <t>Indian Navy</t>
  </si>
  <si>
    <t>Have fruits and vegetables</t>
  </si>
  <si>
    <t>Suchitra Haladkar</t>
  </si>
  <si>
    <t>Medical student</t>
  </si>
  <si>
    <t>have homemade food</t>
  </si>
  <si>
    <t>Anjana Sarpotdar</t>
  </si>
  <si>
    <t>horticulture specialist</t>
  </si>
  <si>
    <t>good food leads good health</t>
  </si>
  <si>
    <t>Radhika Potdar</t>
  </si>
  <si>
    <t>housewife</t>
  </si>
  <si>
    <t>green vegetables</t>
  </si>
  <si>
    <t>Manisha Handpanavar</t>
  </si>
  <si>
    <t>teacher</t>
  </si>
  <si>
    <t>Mahesh Salonkhe</t>
  </si>
  <si>
    <t xml:space="preserve">CRPF </t>
  </si>
  <si>
    <t>have protein</t>
  </si>
  <si>
    <t>Sanika Madhav</t>
  </si>
  <si>
    <t>Aahan patil</t>
  </si>
  <si>
    <t>Abhishehk Jamdar</t>
  </si>
  <si>
    <t>bodybuilder</t>
  </si>
  <si>
    <t>None</t>
  </si>
  <si>
    <t>Per day Calories cumsption</t>
  </si>
  <si>
    <t>Percent of carbs</t>
  </si>
  <si>
    <t xml:space="preserve">Percent of protien </t>
  </si>
  <si>
    <t>Breakfast</t>
  </si>
  <si>
    <t>Mid-night  eating</t>
  </si>
  <si>
    <t>Eating habits impact</t>
  </si>
  <si>
    <t>Outside eat per week</t>
  </si>
  <si>
    <t>Eating total spent per month</t>
  </si>
  <si>
    <t>Eating habits and health awareness</t>
  </si>
  <si>
    <t>Prefered lunchtime</t>
  </si>
  <si>
    <t>Find how often people eat out per week or month</t>
  </si>
  <si>
    <t>Find most preferred type of food (based on responses)</t>
  </si>
  <si>
    <t>Count how many people are concerned about health</t>
  </si>
  <si>
    <t>Calculate average spending per person on eating out</t>
  </si>
  <si>
    <t>Explore relationships between age and eating out frequency</t>
  </si>
  <si>
    <t>Bar Chart: Frequency of eating out by age group</t>
  </si>
  <si>
    <t>Pie Chart: Preferred food sources (restaurant, street food, delivery)</t>
  </si>
  <si>
    <t>Column Chart: Health concerns vs frequency</t>
  </si>
  <si>
    <t>Analyse</t>
  </si>
  <si>
    <t>Create Charts</t>
  </si>
  <si>
    <t>time/week</t>
  </si>
  <si>
    <t>Preferd food</t>
  </si>
  <si>
    <t>Count of Preferd food</t>
  </si>
  <si>
    <t>Row Labels</t>
  </si>
  <si>
    <t>Sum of Outside eat per week</t>
  </si>
  <si>
    <t>Eating frquency /Day</t>
  </si>
  <si>
    <t xml:space="preserve">Line Chart: Monthly spending trend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</si>
</sst>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4" x14ac:knownFonts="1">
    <font>
      <sz val="10"/>
      <color rgb="FF000000"/>
      <name val="Arial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1" xfId="0" applyNumberFormat="1" applyBorder="1"/>
    <xf numFmtId="0" fontId="2" fillId="0" borderId="0" xfId="0" applyFont="1" applyAlignment="1">
      <alignment vertical="center"/>
    </xf>
    <xf numFmtId="0" fontId="0" fillId="0" borderId="6" xfId="0" applyBorder="1"/>
    <xf numFmtId="0" fontId="0" fillId="0" borderId="3" xfId="0" pivotButton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7" xfId="0" applyBorder="1"/>
    <xf numFmtId="0" fontId="0" fillId="0" borderId="5" xfId="0" applyBorder="1" applyAlignment="1">
      <alignment horizontal="left"/>
    </xf>
    <xf numFmtId="0" fontId="0" fillId="0" borderId="8" xfId="0" applyBorder="1"/>
    <xf numFmtId="0" fontId="0" fillId="2" borderId="4" xfId="0" applyFill="1" applyBorder="1" applyAlignment="1">
      <alignment horizontal="left"/>
    </xf>
    <xf numFmtId="0" fontId="0" fillId="2" borderId="7" xfId="0" applyFill="1" applyBorder="1"/>
    <xf numFmtId="0" fontId="3" fillId="2" borderId="0" xfId="0" applyFont="1" applyFill="1"/>
    <xf numFmtId="0" fontId="0" fillId="2" borderId="0" xfId="0" applyFill="1"/>
    <xf numFmtId="0" fontId="1" fillId="0" borderId="0" xfId="0" applyFont="1" applyAlignment="1">
      <alignment vertical="center"/>
    </xf>
    <xf numFmtId="1" fontId="0" fillId="2" borderId="0" xfId="0" applyNumberFormat="1" applyFill="1" applyAlignment="1">
      <alignment horizontal="left"/>
    </xf>
    <xf numFmtId="164" fontId="0" fillId="0" borderId="2" xfId="0" applyNumberFormat="1" applyBorder="1"/>
    <xf numFmtId="0" fontId="3" fillId="0" borderId="1" xfId="0" applyFont="1" applyBorder="1"/>
  </cellXfs>
  <cellStyles count="1">
    <cellStyle name="Normal" xfId="0" builtinId="0"/>
  </cellStyles>
  <dxfs count="23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F400]h:mm:ss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22"/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2 - Eating habit and health awareness.xlsx]Eating Habit And Health 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Frequency of eating out by age group</a:t>
            </a:r>
          </a:p>
        </c:rich>
      </c:tx>
      <c:layout>
        <c:manualLayout>
          <c:xMode val="edge"/>
          <c:yMode val="edge"/>
          <c:x val="0.1522177419354838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082312039624078"/>
          <c:y val="0.19970974216458237"/>
          <c:w val="0.76219784522902378"/>
          <c:h val="0.601303525221891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'Eating Habit And Health '!$F$47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'Eating Habit And Health '!$E$48:$E$51</c:f>
              <c:strCache>
                <c:ptCount val="4"/>
                <c:pt idx="0">
                  <c:v>11–18</c:v>
                </c:pt>
                <c:pt idx="1">
                  <c:v>19–30</c:v>
                </c:pt>
                <c:pt idx="2">
                  <c:v>31–55</c:v>
                </c:pt>
                <c:pt idx="3">
                  <c:v>55+</c:v>
                </c:pt>
              </c:strCache>
            </c:strRef>
          </c:cat>
          <c:val>
            <c:numRef>
              <c:f>'Eating Habit And Health '!$F$48:$F$51</c:f>
              <c:numCache>
                <c:formatCode>General</c:formatCode>
                <c:ptCount val="4"/>
                <c:pt idx="0">
                  <c:v>14</c:v>
                </c:pt>
                <c:pt idx="1">
                  <c:v>49</c:v>
                </c:pt>
                <c:pt idx="2">
                  <c:v>19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4-4054-9737-12EC68B35D2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36702176"/>
        <c:axId val="1236698304"/>
      </c:barChart>
      <c:catAx>
        <c:axId val="12367021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98304"/>
        <c:crosses val="autoZero"/>
        <c:auto val="1"/>
        <c:lblAlgn val="ctr"/>
        <c:lblOffset val="100"/>
        <c:noMultiLvlLbl val="0"/>
      </c:catAx>
      <c:valAx>
        <c:axId val="123669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Eating OUT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0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2 - Eating habit and health awareness.xlsx]Eating Habit And Health 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200"/>
              <a:t>Preferred food sources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3109076002041988E-2"/>
              <c:y val="1.69943713683188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5392282742653235E-2"/>
              <c:y val="5.782243260054920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'Eating Habit And Health '!$F$36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DB9-4BB0-88C4-E2A8ED49F0A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DB9-4BB0-88C4-E2A8ED49F0A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48-4079-B562-058E355E4071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DB9-4BB0-88C4-E2A8ED49F0A3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B9-4BB0-88C4-E2A8ED49F0A3}"/>
              </c:ext>
            </c:extLst>
          </c:dPt>
          <c:dLbls>
            <c:dLbl>
              <c:idx val="0"/>
              <c:layout>
                <c:manualLayout>
                  <c:x val="7.5392282742653235E-2"/>
                  <c:y val="5.7822432600549206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B9-4BB0-88C4-E2A8ED49F0A3}"/>
                </c:ext>
              </c:extLst>
            </c:dLbl>
            <c:dLbl>
              <c:idx val="4"/>
              <c:layout>
                <c:manualLayout>
                  <c:x val="-4.3109076002041988E-2"/>
                  <c:y val="1.699437136831884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B9-4BB0-88C4-E2A8ED49F0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'Eating Habit And Health '!$E$37:$E$41</c:f>
              <c:strCache>
                <c:ptCount val="5"/>
                <c:pt idx="0">
                  <c:v>Fried Food</c:v>
                </c:pt>
                <c:pt idx="1">
                  <c:v>Homemade Food</c:v>
                </c:pt>
                <c:pt idx="2">
                  <c:v>None</c:v>
                </c:pt>
                <c:pt idx="3">
                  <c:v>Resturant Food</c:v>
                </c:pt>
                <c:pt idx="4">
                  <c:v>Street Food</c:v>
                </c:pt>
              </c:strCache>
            </c:strRef>
          </c:cat>
          <c:val>
            <c:numRef>
              <c:f>'Eating Habit And Health '!$F$37:$F$41</c:f>
              <c:numCache>
                <c:formatCode>General</c:formatCode>
                <c:ptCount val="5"/>
                <c:pt idx="0">
                  <c:v>1</c:v>
                </c:pt>
                <c:pt idx="1">
                  <c:v>17</c:v>
                </c:pt>
                <c:pt idx="2">
                  <c:v>2</c:v>
                </c:pt>
                <c:pt idx="3">
                  <c:v>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9-4BB0-88C4-E2A8ED49F0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Health concerns vs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87797087494239"/>
          <c:y val="0.19553150970473804"/>
          <c:w val="0.87097278520658306"/>
          <c:h val="0.6562264907969306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No</c:v>
              </c:pt>
              <c:pt idx="1">
                <c:v>None</c:v>
              </c:pt>
              <c:pt idx="2">
                <c:v>Yes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27</c:v>
              </c:pt>
            </c:numLit>
          </c:val>
          <c:extLst>
            <c:ext xmlns:c16="http://schemas.microsoft.com/office/drawing/2014/chart" uri="{C3380CC4-5D6E-409C-BE32-E72D297353CC}">
              <c16:uniqueId val="{00000002-0FA9-43C8-9442-C72553A79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6725408"/>
        <c:axId val="1236725760"/>
      </c:barChart>
      <c:catAx>
        <c:axId val="123672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25760"/>
        <c:crosses val="autoZero"/>
        <c:auto val="1"/>
        <c:lblAlgn val="ctr"/>
        <c:lblOffset val="100"/>
        <c:noMultiLvlLbl val="0"/>
      </c:catAx>
      <c:valAx>
        <c:axId val="12367257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2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200"/>
              <a:t>Monthly spending trend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09748633199505"/>
          <c:y val="0.16712962962962963"/>
          <c:w val="0.84267062961003392"/>
          <c:h val="0.6348381452318460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11–18</c:v>
              </c:pt>
              <c:pt idx="1">
                <c:v>19–30</c:v>
              </c:pt>
              <c:pt idx="2">
                <c:v>31–55</c:v>
              </c:pt>
              <c:pt idx="3">
                <c:v>55+</c:v>
              </c:pt>
            </c:strLit>
          </c:cat>
          <c:val>
            <c:numLit>
              <c:formatCode>General</c:formatCode>
              <c:ptCount val="4"/>
              <c:pt idx="0">
                <c:v>2900</c:v>
              </c:pt>
              <c:pt idx="1">
                <c:v>15700</c:v>
              </c:pt>
              <c:pt idx="2">
                <c:v>11500</c:v>
              </c:pt>
              <c:pt idx="3">
                <c:v>3200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67C-4F7A-9F4E-693150546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762016"/>
        <c:axId val="1236762368"/>
      </c:lineChart>
      <c:catAx>
        <c:axId val="1236762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62368"/>
        <c:crosses val="autoZero"/>
        <c:auto val="1"/>
        <c:lblAlgn val="ctr"/>
        <c:lblOffset val="100"/>
        <c:noMultiLvlLbl val="0"/>
      </c:catAx>
      <c:valAx>
        <c:axId val="1236762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Spend</a:t>
                </a:r>
              </a:p>
            </c:rich>
          </c:tx>
          <c:layout>
            <c:manualLayout>
              <c:xMode val="edge"/>
              <c:yMode val="edge"/>
              <c:x val="1.9762845849802372E-2"/>
              <c:y val="0.77410870516185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6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52</xdr:row>
      <xdr:rowOff>22860</xdr:rowOff>
    </xdr:from>
    <xdr:to>
      <xdr:col>9</xdr:col>
      <xdr:colOff>716280</xdr:colOff>
      <xdr:row>61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E27FD0-EA53-BDCC-AE3C-03A33F349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</xdr:colOff>
      <xdr:row>62</xdr:row>
      <xdr:rowOff>144780</xdr:rowOff>
    </xdr:from>
    <xdr:to>
      <xdr:col>9</xdr:col>
      <xdr:colOff>723900</xdr:colOff>
      <xdr:row>74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A5FAAD-B0E5-2AC8-6361-1A0908570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</xdr:colOff>
      <xdr:row>76</xdr:row>
      <xdr:rowOff>11430</xdr:rowOff>
    </xdr:from>
    <xdr:to>
      <xdr:col>10</xdr:col>
      <xdr:colOff>22860</xdr:colOff>
      <xdr:row>86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CEFB70-D385-7C52-846C-C849F1A3D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87</xdr:row>
      <xdr:rowOff>156210</xdr:rowOff>
    </xdr:from>
    <xdr:to>
      <xdr:col>10</xdr:col>
      <xdr:colOff>7620</xdr:colOff>
      <xdr:row>100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FDFA66D-5BAB-C1A8-B654-74A3066B3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6.394634606484" createdVersion="8" refreshedVersion="8" minRefreshableVersion="3" recordCount="30" xr:uid="{91028878-342F-4F75-AE9D-0DE7A5E5F063}">
  <cacheSource type="worksheet">
    <worksheetSource name="Form_Responses_1_1_1"/>
  </cacheSource>
  <cacheFields count="16">
    <cacheField name="Name" numFmtId="0">
      <sharedItems count="30">
        <s v="Snehal Chandrashekhar Genge"/>
        <s v="Chandrashekhar Genge"/>
        <s v="Vijaymala Genge"/>
        <s v="Vishvajit Genge"/>
        <s v="Vijaykumar Genge"/>
        <s v="Supriya Genge"/>
        <s v="Anjana Genge"/>
        <s v="Sushila"/>
        <s v="Shravani Patel"/>
        <s v="Sakshi  Mahesh"/>
        <s v="Sangram Nadkarni"/>
        <s v="Komal Pakhiwala"/>
        <s v="Sanjivani Jamadar"/>
        <s v="Sourabh Mangale"/>
        <s v="Radha Surve"/>
        <s v="sandhya mahe"/>
        <s v="Shruti Gadekar"/>
        <s v="Namrata Tokekar"/>
        <s v="Sujal Gavde"/>
        <s v="Sangram Bhalerav"/>
        <s v="Devidas Mohite"/>
        <s v="Pranali Aavalekar"/>
        <s v="Suchitra Haladkar"/>
        <s v="Anjana Sarpotdar"/>
        <s v="Radhika Potdar"/>
        <s v="Manisha Handpanavar"/>
        <s v="Mahesh Salonkhe"/>
        <s v="Sanika Madhav"/>
        <s v="Aahan patil"/>
        <s v="Abhishehk Jamdar"/>
      </sharedItems>
    </cacheField>
    <cacheField name="Age" numFmtId="0">
      <sharedItems count="4">
        <s v="19–30"/>
        <s v="31–55"/>
        <s v="55+"/>
        <s v="11–18"/>
      </sharedItems>
    </cacheField>
    <cacheField name="Role in family" numFmtId="0">
      <sharedItems/>
    </cacheField>
    <cacheField name="Occupation" numFmtId="0">
      <sharedItems/>
    </cacheField>
    <cacheField name="Eating frquency /Day" numFmtId="0">
      <sharedItems containsSemiMixedTypes="0" containsString="0" containsNumber="1" containsInteger="1" minValue="2" maxValue="5"/>
    </cacheField>
    <cacheField name="Per day Calories cumsption" numFmtId="0">
      <sharedItems/>
    </cacheField>
    <cacheField name="Percent of carbs" numFmtId="0">
      <sharedItems/>
    </cacheField>
    <cacheField name="Percent of protien " numFmtId="0">
      <sharedItems/>
    </cacheField>
    <cacheField name="Breakfast" numFmtId="0">
      <sharedItems/>
    </cacheField>
    <cacheField name="Prefered lunchtime" numFmtId="164">
      <sharedItems containsSemiMixedTypes="0" containsNonDate="0" containsDate="1" containsString="0" minDate="1899-12-30T10:00:00" maxDate="1899-12-30T14:00:00"/>
    </cacheField>
    <cacheField name="Preferd food" numFmtId="0">
      <sharedItems count="5">
        <s v="Homemade Food"/>
        <s v="Resturant Food"/>
        <s v="None"/>
        <s v="Street Food"/>
        <s v="Fried Food"/>
      </sharedItems>
    </cacheField>
    <cacheField name="Mid-night  eating" numFmtId="0">
      <sharedItems count="2">
        <s v="No"/>
        <s v="Yes"/>
      </sharedItems>
    </cacheField>
    <cacheField name="Eating habits impact" numFmtId="0">
      <sharedItems count="3">
        <s v="Yes"/>
        <s v="None"/>
        <s v="No"/>
      </sharedItems>
    </cacheField>
    <cacheField name="Outside eat per week" numFmtId="0">
      <sharedItems containsSemiMixedTypes="0" containsString="0" containsNumber="1" containsInteger="1" minValue="0" maxValue="9"/>
    </cacheField>
    <cacheField name="Eating total spent per month" numFmtId="0">
      <sharedItems containsSemiMixedTypes="0" containsString="0" containsNumber="1" containsInteger="1" minValue="0" maxValue="4000"/>
    </cacheField>
    <cacheField name="Eating habits and health awaren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s v="Sibling"/>
    <s v="Studying"/>
    <n v="3"/>
    <s v="1800 - 2000"/>
    <s v="60-80"/>
    <s v="20-30"/>
    <s v="Fruits"/>
    <d v="1899-12-30T12:30:00"/>
    <x v="0"/>
    <x v="0"/>
    <x v="0"/>
    <n v="1"/>
    <n v="200"/>
    <s v="we should eat on time"/>
  </r>
  <r>
    <x v="1"/>
    <x v="1"/>
    <s v="Parent"/>
    <s v="Farmer"/>
    <n v="2"/>
    <s v="2200 - 2400"/>
    <s v="60-80"/>
    <s v="20-30"/>
    <s v="Dairy products"/>
    <d v="1899-12-30T12:30:00"/>
    <x v="0"/>
    <x v="0"/>
    <x v="0"/>
    <n v="2"/>
    <n v="400"/>
    <s v="Eat Healthy"/>
  </r>
  <r>
    <x v="2"/>
    <x v="0"/>
    <s v="Sibling"/>
    <s v="Medical student"/>
    <n v="4"/>
    <s v="2000 - 2200"/>
    <s v="60-80"/>
    <s v="20-30"/>
    <s v="Snacks"/>
    <d v="1899-12-30T12:30:00"/>
    <x v="1"/>
    <x v="1"/>
    <x v="1"/>
    <n v="5"/>
    <n v="800"/>
    <s v="eat well sleep well"/>
  </r>
  <r>
    <x v="3"/>
    <x v="0"/>
    <s v="Sibling"/>
    <s v="Indian Army"/>
    <n v="4"/>
    <s v="2200 - 2400"/>
    <s v="80-100"/>
    <s v="20-30"/>
    <s v="Tea/Cofee"/>
    <d v="1899-12-30T13:00:00"/>
    <x v="0"/>
    <x v="0"/>
    <x v="0"/>
    <n v="5"/>
    <n v="1000"/>
    <s v="balance diet"/>
  </r>
  <r>
    <x v="4"/>
    <x v="0"/>
    <s v="Sibling"/>
    <s v="Enterprenure"/>
    <n v="5"/>
    <s v="2200 - 2400"/>
    <s v="80-100"/>
    <s v="20-30"/>
    <s v="Snacks"/>
    <d v="1899-12-30T12:30:00"/>
    <x v="2"/>
    <x v="1"/>
    <x v="0"/>
    <n v="7"/>
    <n v="1400"/>
    <s v="homemade food"/>
  </r>
  <r>
    <x v="5"/>
    <x v="0"/>
    <s v="Sibling"/>
    <s v="Teacher"/>
    <n v="3"/>
    <s v="2000 - 2200"/>
    <s v="60-80"/>
    <s v="30-40"/>
    <s v="Fruits"/>
    <d v="1899-12-30T14:00:00"/>
    <x v="0"/>
    <x v="0"/>
    <x v="0"/>
    <n v="2"/>
    <n v="1400"/>
    <s v="consume fruits"/>
  </r>
  <r>
    <x v="6"/>
    <x v="1"/>
    <s v="Parent"/>
    <s v="Homemaker"/>
    <n v="3"/>
    <s v="2000 - 2200"/>
    <s v="60-80"/>
    <s v="20-30"/>
    <s v="Dairy products"/>
    <d v="1899-12-30T12:30:00"/>
    <x v="0"/>
    <x v="0"/>
    <x v="0"/>
    <n v="0"/>
    <n v="100"/>
    <s v="consume green more"/>
  </r>
  <r>
    <x v="7"/>
    <x v="2"/>
    <s v="Grandparent"/>
    <s v="Homemaker"/>
    <n v="2"/>
    <s v="1800 - 2000"/>
    <s v="40-60"/>
    <s v="20-30"/>
    <s v="Tea/Cofee"/>
    <d v="1899-12-30T11:00:00"/>
    <x v="0"/>
    <x v="0"/>
    <x v="0"/>
    <n v="1"/>
    <n v="200"/>
    <s v="eat on time"/>
  </r>
  <r>
    <x v="8"/>
    <x v="3"/>
    <s v="Sibling"/>
    <s v="student"/>
    <n v="5"/>
    <s v="1800 - 2000"/>
    <s v="40-60"/>
    <s v="30-40"/>
    <s v="Dairy products"/>
    <d v="1899-12-30T12:30:00"/>
    <x v="3"/>
    <x v="1"/>
    <x v="0"/>
    <n v="7"/>
    <n v="2000"/>
    <s v="Avoid fried food"/>
  </r>
  <r>
    <x v="9"/>
    <x v="0"/>
    <s v="Sibling"/>
    <s v="working"/>
    <n v="4"/>
    <s v="1800 - 2000"/>
    <s v="40-60"/>
    <s v="30-40"/>
    <s v="Snacks"/>
    <d v="1899-12-30T14:00:00"/>
    <x v="1"/>
    <x v="1"/>
    <x v="0"/>
    <n v="9"/>
    <n v="2000"/>
    <s v="homemade food"/>
  </r>
  <r>
    <x v="10"/>
    <x v="2"/>
    <s v="Sibling"/>
    <s v="librarian"/>
    <n v="3"/>
    <s v="2000 - 2200"/>
    <s v="60-80"/>
    <s v="30-40"/>
    <s v="Tea/Cofee"/>
    <d v="1899-12-30T14:00:00"/>
    <x v="0"/>
    <x v="0"/>
    <x v="0"/>
    <n v="2"/>
    <n v="1000"/>
    <s v="balance food"/>
  </r>
  <r>
    <x v="11"/>
    <x v="1"/>
    <s v="Parent"/>
    <s v="Clerck"/>
    <n v="3"/>
    <s v="2000 - 2200"/>
    <s v="60-80"/>
    <s v="30-40"/>
    <s v="Dairy products"/>
    <d v="1899-12-30T12:30:00"/>
    <x v="1"/>
    <x v="1"/>
    <x v="0"/>
    <n v="5"/>
    <n v="2000"/>
    <s v="have protein more"/>
  </r>
  <r>
    <x v="12"/>
    <x v="2"/>
    <s v="Parent"/>
    <s v="Gynecologist"/>
    <n v="3"/>
    <s v="2000 - 2200"/>
    <s v="60-80"/>
    <s v="30-40"/>
    <s v="Dairy products"/>
    <d v="1899-12-30T13:00:00"/>
    <x v="0"/>
    <x v="1"/>
    <x v="0"/>
    <n v="2"/>
    <n v="2000"/>
    <s v="Have food on time"/>
  </r>
  <r>
    <x v="13"/>
    <x v="0"/>
    <s v="Parent"/>
    <s v="Actor"/>
    <n v="3"/>
    <s v="1800 - 2000"/>
    <s v="60-80"/>
    <s v="20-30"/>
    <s v="Tea/Cofee"/>
    <d v="1899-12-30T14:00:00"/>
    <x v="1"/>
    <x v="1"/>
    <x v="0"/>
    <n v="8"/>
    <n v="2200"/>
    <s v="homemade food"/>
  </r>
  <r>
    <x v="14"/>
    <x v="3"/>
    <s v="Sibling"/>
    <s v="Sports student"/>
    <n v="4"/>
    <s v="2200 - 2400"/>
    <s v="60-80"/>
    <s v="30-40"/>
    <s v="Dairy products"/>
    <d v="1899-12-30T12:00:00"/>
    <x v="0"/>
    <x v="0"/>
    <x v="0"/>
    <n v="0"/>
    <n v="200"/>
    <s v="good food leads Greate energy"/>
  </r>
  <r>
    <x v="15"/>
    <x v="0"/>
    <s v="Sibling"/>
    <s v="Job"/>
    <n v="2"/>
    <s v="2000 - 2200"/>
    <s v="60-80"/>
    <s v="30-40"/>
    <s v="Fruits"/>
    <d v="1899-12-30T13:00:00"/>
    <x v="0"/>
    <x v="0"/>
    <x v="0"/>
    <n v="2"/>
    <n v="2000"/>
    <s v="Eat well"/>
  </r>
  <r>
    <x v="16"/>
    <x v="0"/>
    <s v="Sibling"/>
    <s v="Studying"/>
    <n v="3"/>
    <s v="2000 - 2200"/>
    <s v="60-80"/>
    <s v="30-40"/>
    <s v="Dairy products"/>
    <d v="1899-12-30T12:30:00"/>
    <x v="1"/>
    <x v="0"/>
    <x v="0"/>
    <n v="4"/>
    <n v="1500"/>
    <s v="Eat green"/>
  </r>
  <r>
    <x v="17"/>
    <x v="3"/>
    <s v="Sibling"/>
    <s v="student"/>
    <n v="3"/>
    <s v="2000 - 2200"/>
    <s v="40-60"/>
    <s v="30-40"/>
    <s v="Snacks"/>
    <d v="1899-12-30T11:00:00"/>
    <x v="3"/>
    <x v="1"/>
    <x v="0"/>
    <n v="3"/>
    <n v="200"/>
    <s v="Stay healthy"/>
  </r>
  <r>
    <x v="18"/>
    <x v="3"/>
    <s v="Sibling"/>
    <s v="student"/>
    <n v="3"/>
    <s v="1800 - 2000"/>
    <s v="40-60"/>
    <s v="above 40"/>
    <s v="Dairy products"/>
    <d v="1899-12-30T10:00:00"/>
    <x v="4"/>
    <x v="0"/>
    <x v="0"/>
    <n v="0"/>
    <n v="0"/>
    <s v="have protein based food"/>
  </r>
  <r>
    <x v="19"/>
    <x v="1"/>
    <s v="Parent"/>
    <s v="Businessman"/>
    <n v="2"/>
    <s v="2000 - 2200"/>
    <s v="60-80"/>
    <s v="30-40"/>
    <s v="Tea/Cofee"/>
    <d v="1899-12-30T14:00:00"/>
    <x v="0"/>
    <x v="1"/>
    <x v="0"/>
    <n v="4"/>
    <n v="4000"/>
    <s v="Balanced diet"/>
  </r>
  <r>
    <x v="20"/>
    <x v="0"/>
    <s v="Sibling"/>
    <s v="Sportsman"/>
    <n v="4"/>
    <s v="1800 - 2000"/>
    <s v="60-80"/>
    <s v="above 40"/>
    <s v="Fruits"/>
    <d v="1899-12-30T12:30:00"/>
    <x v="0"/>
    <x v="0"/>
    <x v="0"/>
    <n v="0"/>
    <n v="0"/>
    <s v="homemade food"/>
  </r>
  <r>
    <x v="21"/>
    <x v="0"/>
    <s v="Parent"/>
    <s v="Indian Navy"/>
    <n v="2"/>
    <s v="2000 - 2200"/>
    <s v="60-80"/>
    <s v="30-40"/>
    <s v="Tea/Cofee"/>
    <d v="1899-12-30T13:00:00"/>
    <x v="0"/>
    <x v="1"/>
    <x v="0"/>
    <n v="0"/>
    <n v="0"/>
    <s v="Have fruits and vegetables"/>
  </r>
  <r>
    <x v="22"/>
    <x v="1"/>
    <s v="Sibling"/>
    <s v="Medical student"/>
    <n v="2"/>
    <s v="2000 - 2200"/>
    <s v="60-80"/>
    <s v="30-40"/>
    <s v="Snacks"/>
    <d v="1899-12-30T13:00:00"/>
    <x v="1"/>
    <x v="1"/>
    <x v="0"/>
    <n v="4"/>
    <n v="2000"/>
    <s v="have homemade food"/>
  </r>
  <r>
    <x v="23"/>
    <x v="1"/>
    <s v="Grandparent"/>
    <s v="horticulture specialist"/>
    <n v="2"/>
    <s v="1800 - 2000"/>
    <s v="60-80"/>
    <s v="30-40"/>
    <s v="Fruits"/>
    <d v="1899-12-30T13:00:00"/>
    <x v="0"/>
    <x v="0"/>
    <x v="1"/>
    <n v="1"/>
    <n v="500"/>
    <s v="good food leads good health"/>
  </r>
  <r>
    <x v="24"/>
    <x v="0"/>
    <s v="Parent"/>
    <s v="housewife"/>
    <n v="2"/>
    <s v="2000 - 2200"/>
    <s v="60-80"/>
    <s v="30-40"/>
    <s v="Tea/Cofee"/>
    <d v="1899-12-30T14:00:00"/>
    <x v="2"/>
    <x v="0"/>
    <x v="0"/>
    <n v="0"/>
    <n v="0"/>
    <s v="green vegetables"/>
  </r>
  <r>
    <x v="25"/>
    <x v="0"/>
    <s v="Parent"/>
    <s v="Teacher"/>
    <n v="2"/>
    <s v="1800 - 2000"/>
    <s v="40-60"/>
    <s v="20-30"/>
    <s v="Fruits"/>
    <d v="1899-12-30T14:00:00"/>
    <x v="1"/>
    <x v="1"/>
    <x v="0"/>
    <n v="5"/>
    <n v="3000"/>
    <s v="None"/>
  </r>
  <r>
    <x v="26"/>
    <x v="1"/>
    <s v="Parent"/>
    <s v="CRPF "/>
    <n v="2"/>
    <s v="2200 - 2400"/>
    <s v="60-80"/>
    <s v="above 40"/>
    <s v="Snacks"/>
    <d v="1899-12-30T13:00:00"/>
    <x v="0"/>
    <x v="0"/>
    <x v="0"/>
    <n v="2"/>
    <n v="2000"/>
    <s v="have protein"/>
  </r>
  <r>
    <x v="27"/>
    <x v="0"/>
    <s v="Sibling"/>
    <s v="student"/>
    <n v="2"/>
    <s v="1800 - 2000"/>
    <s v="40-60"/>
    <s v="20-30"/>
    <s v="Tea/Cofee"/>
    <d v="1899-12-30T11:00:00"/>
    <x v="0"/>
    <x v="0"/>
    <x v="0"/>
    <n v="1"/>
    <n v="200"/>
    <s v="None"/>
  </r>
  <r>
    <x v="28"/>
    <x v="3"/>
    <s v="Sibling"/>
    <s v="student"/>
    <n v="3"/>
    <s v="2000 - 2200"/>
    <s v="60-80"/>
    <s v="above 40"/>
    <s v="Snacks"/>
    <d v="1899-12-30T10:00:00"/>
    <x v="1"/>
    <x v="1"/>
    <x v="2"/>
    <n v="4"/>
    <n v="500"/>
    <s v="None"/>
  </r>
  <r>
    <x v="29"/>
    <x v="1"/>
    <s v="Sibling"/>
    <s v="bodybuilder"/>
    <n v="3"/>
    <s v="2000 - 2200"/>
    <s v="40-60"/>
    <s v="above 40"/>
    <s v="Dairy products"/>
    <d v="1899-12-30T13:00:00"/>
    <x v="0"/>
    <x v="0"/>
    <x v="0"/>
    <n v="1"/>
    <n v="500"/>
    <s v="eat on tim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A7D2D-BE6A-4815-931F-A49CE0F3BB71}" name="PivotTable1" cacheId="1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15">
  <location ref="E36:F41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dataField="1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Preferd food" fld="10" subtotal="count" baseField="0" baseItem="0"/>
  </dataFields>
  <formats count="1">
    <format dxfId="18">
      <pivotArea dataOnly="0" fieldPosition="0">
        <references count="1">
          <reference field="10" count="1">
            <x v="1"/>
          </reference>
        </references>
      </pivotArea>
    </format>
  </format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A5472-2C89-4728-A88B-84AC8F78296A}" name="PivotTable3" cacheId="1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10">
  <location ref="E47:F51" firstHeaderRow="1" firstDataRow="1" firstDataCol="1"/>
  <pivotFields count="16"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Outside eat per week" fld="13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F071BA1-D0E1-440B-A5A2-BB851B63A53C}" autoFormatId="16" applyNumberFormats="0" applyBorderFormats="0" applyFontFormats="0" applyPatternFormats="0" applyAlignmentFormats="0" applyWidthHeightFormats="0">
  <queryTableRefresh nextId="17">
    <queryTableFields count="16">
      <queryTableField id="1" name="Name" tableColumnId="1"/>
      <queryTableField id="2" name="Age" tableColumnId="2"/>
      <queryTableField id="3" name="Role in family" tableColumnId="3"/>
      <queryTableField id="4" name="Occupation" tableColumnId="4"/>
      <queryTableField id="5" name="Outside eating frquency" tableColumnId="5"/>
      <queryTableField id="6" name="Per day Calories cumsption" tableColumnId="6"/>
      <queryTableField id="7" name="Percent of carbs" tableColumnId="7"/>
      <queryTableField id="8" name="Percent of protien " tableColumnId="8"/>
      <queryTableField id="9" name="Breakfast" tableColumnId="9"/>
      <queryTableField id="10" name="Prefered lunchtime" tableColumnId="10"/>
      <queryTableField id="11" name="lumchtime" tableColumnId="11"/>
      <queryTableField id="12" name="Mid-night  eating" tableColumnId="12"/>
      <queryTableField id="13" name="Eating habits impact" tableColumnId="13"/>
      <queryTableField id="14" name="Outside eat per week" tableColumnId="14"/>
      <queryTableField id="15" name="Eating total spent per month" tableColumnId="15"/>
      <queryTableField id="16" name="Eating habits and health awarenes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6786EF-283D-483C-82A0-EC83CBAD18D9}" name="Form_Responses_1_1_1" displayName="Form_Responses_1_1_1" ref="A1:P31" tableType="queryTable" totalsRowShown="0" headerRowDxfId="17" headerRowBorderDxfId="16">
  <tableColumns count="16">
    <tableColumn id="1" xr3:uid="{6C4FA1B2-2534-41D1-BE18-ECAF0BE3A295}" uniqueName="1" name="Name" queryTableFieldId="1" dataDxfId="15"/>
    <tableColumn id="2" xr3:uid="{F0AA06AB-1BF6-4BE2-9C5D-210D7AFCF532}" uniqueName="2" name="Age" queryTableFieldId="2" dataDxfId="14"/>
    <tableColumn id="3" xr3:uid="{55B0A148-712B-4EC5-A95E-631B2D222F75}" uniqueName="3" name="Role in family" queryTableFieldId="3" dataDxfId="13"/>
    <tableColumn id="4" xr3:uid="{C8332A1D-3DFB-46E7-A0A9-18EFEBF61DE1}" uniqueName="4" name="Occupation" queryTableFieldId="4" dataDxfId="12"/>
    <tableColumn id="5" xr3:uid="{6C78AE52-3CAC-4FB8-82C1-9B35CEF75577}" uniqueName="5" name="Eating frquency /Day" queryTableFieldId="5" dataDxfId="11"/>
    <tableColumn id="6" xr3:uid="{30ABAC70-6BF9-48D1-A363-E319D834D0F4}" uniqueName="6" name="Per day Calories cumsption" queryTableFieldId="6" dataDxfId="10"/>
    <tableColumn id="7" xr3:uid="{67803DBE-FB0F-45E0-B582-40CAAC28DB1F}" uniqueName="7" name="Percent of carbs" queryTableFieldId="7" dataDxfId="9"/>
    <tableColumn id="8" xr3:uid="{D73E29C4-29D7-490C-AB06-5BDFA78ED786}" uniqueName="8" name="Percent of protien " queryTableFieldId="8" dataDxfId="8"/>
    <tableColumn id="9" xr3:uid="{E0027664-A6E7-4EF3-A982-4D0977D622C1}" uniqueName="9" name="Breakfast" queryTableFieldId="9" dataDxfId="7"/>
    <tableColumn id="10" xr3:uid="{EF3305F7-35E4-48BF-8AC5-B028DCBE948E}" uniqueName="10" name="Prefered lunchtime" queryTableFieldId="10" dataDxfId="6"/>
    <tableColumn id="11" xr3:uid="{D4587197-468A-4295-AA81-A4551034079B}" uniqueName="11" name="Preferd food" queryTableFieldId="11" dataDxfId="5"/>
    <tableColumn id="12" xr3:uid="{2001634C-E11F-4795-80A5-6E177AAE7F74}" uniqueName="12" name="Mid-night  eating" queryTableFieldId="12" dataDxfId="4"/>
    <tableColumn id="13" xr3:uid="{845074BA-B88B-4A83-8D75-1A3A6022A467}" uniqueName="13" name="Eating habits impact" queryTableFieldId="13" dataDxfId="3"/>
    <tableColumn id="14" xr3:uid="{F0C98BEA-8372-492A-BF8F-158A4DFC6036}" uniqueName="14" name="Outside eat per week" queryTableFieldId="14" dataDxfId="2"/>
    <tableColumn id="15" xr3:uid="{2B5F0D4D-454D-40B9-B106-E2F451ACF337}" uniqueName="15" name="Eating total spent per month" queryTableFieldId="15" dataDxfId="1"/>
    <tableColumn id="16" xr3:uid="{B7CFE54C-8C0C-46C8-8E99-EE18B4ECC18E}" uniqueName="16" name="Eating habits and health awareness" queryTableFieldId="1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AD8E-967F-456D-9876-877E95CBD634}">
  <dimension ref="A1:P89"/>
  <sheetViews>
    <sheetView tabSelected="1" zoomScaleNormal="100" workbookViewId="0">
      <selection activeCell="O3" sqref="O3"/>
    </sheetView>
  </sheetViews>
  <sheetFormatPr defaultRowHeight="13.2" x14ac:dyDescent="0.25"/>
  <cols>
    <col min="1" max="1" width="26.88671875" bestFit="1" customWidth="1"/>
    <col min="2" max="2" width="6.5546875" bestFit="1" customWidth="1"/>
    <col min="3" max="3" width="11" customWidth="1"/>
    <col min="4" max="4" width="24.21875" customWidth="1"/>
    <col min="5" max="5" width="8" customWidth="1"/>
    <col min="6" max="6" width="13.33203125" customWidth="1"/>
    <col min="7" max="7" width="8.21875" customWidth="1"/>
    <col min="8" max="8" width="7.6640625" customWidth="1"/>
    <col min="9" max="9" width="18.88671875" bestFit="1" customWidth="1"/>
    <col min="10" max="10" width="10.6640625" customWidth="1"/>
    <col min="11" max="11" width="14.88671875" bestFit="1" customWidth="1"/>
    <col min="12" max="12" width="9.33203125" customWidth="1"/>
    <col min="13" max="13" width="8.77734375" customWidth="1"/>
    <col min="14" max="14" width="7.6640625" customWidth="1"/>
    <col min="15" max="15" width="10" customWidth="1"/>
    <col min="16" max="16" width="26.3320312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9" t="s">
        <v>133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117</v>
      </c>
      <c r="K1" s="19" t="s">
        <v>129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</row>
    <row r="2" spans="1:16" x14ac:dyDescent="0.25">
      <c r="A2" s="2" t="s">
        <v>4</v>
      </c>
      <c r="B2" s="2" t="s">
        <v>5</v>
      </c>
      <c r="C2" s="2" t="s">
        <v>6</v>
      </c>
      <c r="D2" s="2" t="s">
        <v>7</v>
      </c>
      <c r="E2" s="2">
        <v>3</v>
      </c>
      <c r="F2" s="2" t="s">
        <v>8</v>
      </c>
      <c r="G2" s="2" t="s">
        <v>9</v>
      </c>
      <c r="H2" s="2" t="s">
        <v>10</v>
      </c>
      <c r="I2" s="2" t="s">
        <v>11</v>
      </c>
      <c r="J2" s="18">
        <v>0.52083333333333337</v>
      </c>
      <c r="K2" s="2" t="s">
        <v>12</v>
      </c>
      <c r="L2" s="2" t="s">
        <v>13</v>
      </c>
      <c r="M2" s="2" t="s">
        <v>14</v>
      </c>
      <c r="N2" s="2">
        <v>1</v>
      </c>
      <c r="O2" s="2">
        <v>200</v>
      </c>
      <c r="P2" s="2" t="s">
        <v>15</v>
      </c>
    </row>
    <row r="3" spans="1:16" x14ac:dyDescent="0.25">
      <c r="A3" s="1" t="s">
        <v>16</v>
      </c>
      <c r="B3" s="1" t="s">
        <v>17</v>
      </c>
      <c r="C3" s="1" t="s">
        <v>18</v>
      </c>
      <c r="D3" s="1" t="s">
        <v>19</v>
      </c>
      <c r="E3" s="1">
        <v>2</v>
      </c>
      <c r="F3" s="1" t="s">
        <v>20</v>
      </c>
      <c r="G3" s="1" t="s">
        <v>9</v>
      </c>
      <c r="H3" s="1" t="s">
        <v>10</v>
      </c>
      <c r="I3" s="1" t="s">
        <v>21</v>
      </c>
      <c r="J3" s="3">
        <v>0.52083333333333337</v>
      </c>
      <c r="K3" s="1" t="s">
        <v>12</v>
      </c>
      <c r="L3" s="1" t="s">
        <v>13</v>
      </c>
      <c r="M3" s="1" t="s">
        <v>14</v>
      </c>
      <c r="N3" s="1">
        <v>2</v>
      </c>
      <c r="O3" s="1">
        <v>400</v>
      </c>
      <c r="P3" s="1" t="s">
        <v>22</v>
      </c>
    </row>
    <row r="4" spans="1:16" x14ac:dyDescent="0.25">
      <c r="A4" s="1" t="s">
        <v>23</v>
      </c>
      <c r="B4" s="1" t="s">
        <v>5</v>
      </c>
      <c r="C4" s="1" t="s">
        <v>6</v>
      </c>
      <c r="D4" s="1" t="s">
        <v>90</v>
      </c>
      <c r="E4" s="1">
        <v>4</v>
      </c>
      <c r="F4" s="1" t="s">
        <v>24</v>
      </c>
      <c r="G4" s="1" t="s">
        <v>9</v>
      </c>
      <c r="H4" s="1" t="s">
        <v>10</v>
      </c>
      <c r="I4" s="1" t="s">
        <v>25</v>
      </c>
      <c r="J4" s="3">
        <v>0.52083333333333337</v>
      </c>
      <c r="K4" s="1" t="s">
        <v>26</v>
      </c>
      <c r="L4" s="1" t="s">
        <v>14</v>
      </c>
      <c r="M4" s="1" t="s">
        <v>107</v>
      </c>
      <c r="N4" s="1">
        <v>5</v>
      </c>
      <c r="O4" s="1">
        <v>800</v>
      </c>
      <c r="P4" s="1" t="s">
        <v>27</v>
      </c>
    </row>
    <row r="5" spans="1:16" x14ac:dyDescent="0.25">
      <c r="A5" s="1" t="s">
        <v>28</v>
      </c>
      <c r="B5" s="1" t="s">
        <v>5</v>
      </c>
      <c r="C5" s="1" t="s">
        <v>6</v>
      </c>
      <c r="D5" s="1" t="s">
        <v>29</v>
      </c>
      <c r="E5" s="1">
        <v>4</v>
      </c>
      <c r="F5" s="1" t="s">
        <v>20</v>
      </c>
      <c r="G5" s="1" t="s">
        <v>30</v>
      </c>
      <c r="H5" s="1" t="s">
        <v>10</v>
      </c>
      <c r="I5" s="1" t="s">
        <v>31</v>
      </c>
      <c r="J5" s="3">
        <v>0.54166666666666663</v>
      </c>
      <c r="K5" s="1" t="s">
        <v>12</v>
      </c>
      <c r="L5" s="1" t="s">
        <v>13</v>
      </c>
      <c r="M5" s="1" t="s">
        <v>14</v>
      </c>
      <c r="N5" s="1">
        <v>5</v>
      </c>
      <c r="O5" s="1">
        <v>1000</v>
      </c>
      <c r="P5" s="1" t="s">
        <v>32</v>
      </c>
    </row>
    <row r="6" spans="1:16" x14ac:dyDescent="0.25">
      <c r="A6" s="1" t="s">
        <v>33</v>
      </c>
      <c r="B6" s="1" t="s">
        <v>5</v>
      </c>
      <c r="C6" s="1" t="s">
        <v>6</v>
      </c>
      <c r="D6" s="1" t="s">
        <v>34</v>
      </c>
      <c r="E6" s="1">
        <v>5</v>
      </c>
      <c r="F6" s="1" t="s">
        <v>20</v>
      </c>
      <c r="G6" s="1" t="s">
        <v>30</v>
      </c>
      <c r="H6" s="1" t="s">
        <v>10</v>
      </c>
      <c r="I6" s="1" t="s">
        <v>25</v>
      </c>
      <c r="J6" s="3">
        <v>0.52083333333333337</v>
      </c>
      <c r="K6" s="1" t="s">
        <v>107</v>
      </c>
      <c r="L6" s="1" t="s">
        <v>14</v>
      </c>
      <c r="M6" s="1" t="s">
        <v>14</v>
      </c>
      <c r="N6" s="1">
        <v>7</v>
      </c>
      <c r="O6" s="1">
        <v>1400</v>
      </c>
      <c r="P6" s="1" t="s">
        <v>35</v>
      </c>
    </row>
    <row r="7" spans="1:16" x14ac:dyDescent="0.25">
      <c r="A7" s="1" t="s">
        <v>36</v>
      </c>
      <c r="B7" s="1" t="s">
        <v>5</v>
      </c>
      <c r="C7" s="1" t="s">
        <v>6</v>
      </c>
      <c r="D7" s="1" t="s">
        <v>37</v>
      </c>
      <c r="E7" s="1">
        <v>3</v>
      </c>
      <c r="F7" s="1" t="s">
        <v>24</v>
      </c>
      <c r="G7" s="1" t="s">
        <v>9</v>
      </c>
      <c r="H7" s="1" t="s">
        <v>38</v>
      </c>
      <c r="I7" s="1" t="s">
        <v>11</v>
      </c>
      <c r="J7" s="3">
        <v>0.58333333333333337</v>
      </c>
      <c r="K7" s="1" t="s">
        <v>12</v>
      </c>
      <c r="L7" s="1" t="s">
        <v>13</v>
      </c>
      <c r="M7" s="1" t="s">
        <v>14</v>
      </c>
      <c r="N7" s="1">
        <v>2</v>
      </c>
      <c r="O7" s="1">
        <v>1400</v>
      </c>
      <c r="P7" s="1" t="s">
        <v>39</v>
      </c>
    </row>
    <row r="8" spans="1:16" x14ac:dyDescent="0.25">
      <c r="A8" s="1" t="s">
        <v>40</v>
      </c>
      <c r="B8" s="1" t="s">
        <v>17</v>
      </c>
      <c r="C8" s="1" t="s">
        <v>18</v>
      </c>
      <c r="D8" s="1" t="s">
        <v>41</v>
      </c>
      <c r="E8" s="1">
        <v>3</v>
      </c>
      <c r="F8" s="1" t="s">
        <v>24</v>
      </c>
      <c r="G8" s="1" t="s">
        <v>9</v>
      </c>
      <c r="H8" s="1" t="s">
        <v>10</v>
      </c>
      <c r="I8" s="1" t="s">
        <v>21</v>
      </c>
      <c r="J8" s="3">
        <v>0.52083333333333337</v>
      </c>
      <c r="K8" s="1" t="s">
        <v>12</v>
      </c>
      <c r="L8" s="1" t="s">
        <v>13</v>
      </c>
      <c r="M8" s="1" t="s">
        <v>14</v>
      </c>
      <c r="N8" s="1">
        <v>0</v>
      </c>
      <c r="O8" s="1">
        <v>100</v>
      </c>
      <c r="P8" s="1" t="s">
        <v>42</v>
      </c>
    </row>
    <row r="9" spans="1:16" x14ac:dyDescent="0.25">
      <c r="A9" s="1" t="s">
        <v>43</v>
      </c>
      <c r="B9" s="1" t="s">
        <v>44</v>
      </c>
      <c r="C9" s="1" t="s">
        <v>45</v>
      </c>
      <c r="D9" s="1" t="s">
        <v>41</v>
      </c>
      <c r="E9" s="1">
        <v>2</v>
      </c>
      <c r="F9" s="1" t="s">
        <v>8</v>
      </c>
      <c r="G9" s="1" t="s">
        <v>46</v>
      </c>
      <c r="H9" s="1" t="s">
        <v>10</v>
      </c>
      <c r="I9" s="1" t="s">
        <v>31</v>
      </c>
      <c r="J9" s="3">
        <v>0.45833333333333331</v>
      </c>
      <c r="K9" s="1" t="s">
        <v>12</v>
      </c>
      <c r="L9" s="1" t="s">
        <v>13</v>
      </c>
      <c r="M9" s="1" t="s">
        <v>14</v>
      </c>
      <c r="N9" s="1">
        <v>1</v>
      </c>
      <c r="O9" s="1">
        <v>200</v>
      </c>
      <c r="P9" s="1" t="s">
        <v>47</v>
      </c>
    </row>
    <row r="10" spans="1:16" x14ac:dyDescent="0.25">
      <c r="A10" s="1" t="s">
        <v>48</v>
      </c>
      <c r="B10" s="1" t="s">
        <v>49</v>
      </c>
      <c r="C10" s="1" t="s">
        <v>6</v>
      </c>
      <c r="D10" s="1" t="s">
        <v>50</v>
      </c>
      <c r="E10" s="1">
        <v>5</v>
      </c>
      <c r="F10" s="1" t="s">
        <v>8</v>
      </c>
      <c r="G10" s="1" t="s">
        <v>46</v>
      </c>
      <c r="H10" s="1" t="s">
        <v>38</v>
      </c>
      <c r="I10" s="1" t="s">
        <v>21</v>
      </c>
      <c r="J10" s="3">
        <v>0.52083333333333337</v>
      </c>
      <c r="K10" s="1" t="s">
        <v>51</v>
      </c>
      <c r="L10" s="1" t="s">
        <v>14</v>
      </c>
      <c r="M10" s="1" t="s">
        <v>14</v>
      </c>
      <c r="N10" s="1">
        <v>7</v>
      </c>
      <c r="O10" s="1">
        <v>2000</v>
      </c>
      <c r="P10" s="1" t="s">
        <v>52</v>
      </c>
    </row>
    <row r="11" spans="1:16" x14ac:dyDescent="0.25">
      <c r="A11" s="1" t="s">
        <v>53</v>
      </c>
      <c r="B11" s="1" t="s">
        <v>5</v>
      </c>
      <c r="C11" s="1" t="s">
        <v>6</v>
      </c>
      <c r="D11" s="1" t="s">
        <v>54</v>
      </c>
      <c r="E11" s="1">
        <v>4</v>
      </c>
      <c r="F11" s="1" t="s">
        <v>8</v>
      </c>
      <c r="G11" s="1" t="s">
        <v>46</v>
      </c>
      <c r="H11" s="1" t="s">
        <v>38</v>
      </c>
      <c r="I11" s="1" t="s">
        <v>25</v>
      </c>
      <c r="J11" s="3">
        <v>0.58333333333333337</v>
      </c>
      <c r="K11" s="1" t="s">
        <v>26</v>
      </c>
      <c r="L11" s="1" t="s">
        <v>14</v>
      </c>
      <c r="M11" s="1" t="s">
        <v>14</v>
      </c>
      <c r="N11" s="1">
        <v>9</v>
      </c>
      <c r="O11" s="1">
        <v>2000</v>
      </c>
      <c r="P11" s="1" t="s">
        <v>35</v>
      </c>
    </row>
    <row r="12" spans="1:16" x14ac:dyDescent="0.25">
      <c r="A12" s="1" t="s">
        <v>55</v>
      </c>
      <c r="B12" s="1" t="s">
        <v>44</v>
      </c>
      <c r="C12" s="1" t="s">
        <v>6</v>
      </c>
      <c r="D12" s="1" t="s">
        <v>56</v>
      </c>
      <c r="E12" s="1">
        <v>3</v>
      </c>
      <c r="F12" s="1" t="s">
        <v>24</v>
      </c>
      <c r="G12" s="1" t="s">
        <v>9</v>
      </c>
      <c r="H12" s="1" t="s">
        <v>38</v>
      </c>
      <c r="I12" s="1" t="s">
        <v>31</v>
      </c>
      <c r="J12" s="3">
        <v>0.58333333333333337</v>
      </c>
      <c r="K12" s="1" t="s">
        <v>12</v>
      </c>
      <c r="L12" s="1" t="s">
        <v>13</v>
      </c>
      <c r="M12" s="1" t="s">
        <v>14</v>
      </c>
      <c r="N12" s="1">
        <v>2</v>
      </c>
      <c r="O12" s="1">
        <v>1000</v>
      </c>
      <c r="P12" s="1" t="s">
        <v>57</v>
      </c>
    </row>
    <row r="13" spans="1:16" x14ac:dyDescent="0.25">
      <c r="A13" s="1" t="s">
        <v>58</v>
      </c>
      <c r="B13" s="1" t="s">
        <v>17</v>
      </c>
      <c r="C13" s="1" t="s">
        <v>18</v>
      </c>
      <c r="D13" s="1" t="s">
        <v>59</v>
      </c>
      <c r="E13" s="1">
        <v>3</v>
      </c>
      <c r="F13" s="1" t="s">
        <v>24</v>
      </c>
      <c r="G13" s="1" t="s">
        <v>9</v>
      </c>
      <c r="H13" s="1" t="s">
        <v>38</v>
      </c>
      <c r="I13" s="1" t="s">
        <v>21</v>
      </c>
      <c r="J13" s="3">
        <v>0.52083333333333337</v>
      </c>
      <c r="K13" s="1" t="s">
        <v>26</v>
      </c>
      <c r="L13" s="1" t="s">
        <v>14</v>
      </c>
      <c r="M13" s="1" t="s">
        <v>14</v>
      </c>
      <c r="N13" s="1">
        <v>5</v>
      </c>
      <c r="O13" s="1">
        <v>2000</v>
      </c>
      <c r="P13" s="1" t="s">
        <v>60</v>
      </c>
    </row>
    <row r="14" spans="1:16" x14ac:dyDescent="0.25">
      <c r="A14" s="1" t="s">
        <v>61</v>
      </c>
      <c r="B14" s="1" t="s">
        <v>44</v>
      </c>
      <c r="C14" s="1" t="s">
        <v>18</v>
      </c>
      <c r="D14" s="1" t="s">
        <v>62</v>
      </c>
      <c r="E14" s="1">
        <v>3</v>
      </c>
      <c r="F14" s="1" t="s">
        <v>24</v>
      </c>
      <c r="G14" s="1" t="s">
        <v>9</v>
      </c>
      <c r="H14" s="1" t="s">
        <v>38</v>
      </c>
      <c r="I14" s="1" t="s">
        <v>21</v>
      </c>
      <c r="J14" s="3">
        <v>0.54166666666666663</v>
      </c>
      <c r="K14" s="1" t="s">
        <v>12</v>
      </c>
      <c r="L14" s="1" t="s">
        <v>14</v>
      </c>
      <c r="M14" s="1" t="s">
        <v>14</v>
      </c>
      <c r="N14" s="1">
        <v>2</v>
      </c>
      <c r="O14" s="1">
        <v>2000</v>
      </c>
      <c r="P14" s="1" t="s">
        <v>63</v>
      </c>
    </row>
    <row r="15" spans="1:16" x14ac:dyDescent="0.25">
      <c r="A15" s="1" t="s">
        <v>64</v>
      </c>
      <c r="B15" s="1" t="s">
        <v>5</v>
      </c>
      <c r="C15" s="1" t="s">
        <v>18</v>
      </c>
      <c r="D15" s="1" t="s">
        <v>65</v>
      </c>
      <c r="E15" s="1">
        <v>3</v>
      </c>
      <c r="F15" s="1" t="s">
        <v>8</v>
      </c>
      <c r="G15" s="1" t="s">
        <v>9</v>
      </c>
      <c r="H15" s="1" t="s">
        <v>10</v>
      </c>
      <c r="I15" s="1" t="s">
        <v>31</v>
      </c>
      <c r="J15" s="3">
        <v>0.58333333333333337</v>
      </c>
      <c r="K15" s="1" t="s">
        <v>26</v>
      </c>
      <c r="L15" s="1" t="s">
        <v>14</v>
      </c>
      <c r="M15" s="1" t="s">
        <v>14</v>
      </c>
      <c r="N15" s="1">
        <v>8</v>
      </c>
      <c r="O15" s="1">
        <v>2200</v>
      </c>
      <c r="P15" s="1" t="s">
        <v>35</v>
      </c>
    </row>
    <row r="16" spans="1:16" x14ac:dyDescent="0.25">
      <c r="A16" s="1" t="s">
        <v>66</v>
      </c>
      <c r="B16" s="1" t="s">
        <v>49</v>
      </c>
      <c r="C16" s="1" t="s">
        <v>6</v>
      </c>
      <c r="D16" s="1" t="s">
        <v>67</v>
      </c>
      <c r="E16" s="1">
        <v>4</v>
      </c>
      <c r="F16" s="1" t="s">
        <v>20</v>
      </c>
      <c r="G16" s="1" t="s">
        <v>9</v>
      </c>
      <c r="H16" s="1" t="s">
        <v>38</v>
      </c>
      <c r="I16" s="1" t="s">
        <v>21</v>
      </c>
      <c r="J16" s="3">
        <v>0.5</v>
      </c>
      <c r="K16" s="1" t="s">
        <v>12</v>
      </c>
      <c r="L16" s="1" t="s">
        <v>13</v>
      </c>
      <c r="M16" s="1" t="s">
        <v>14</v>
      </c>
      <c r="N16" s="1">
        <v>0</v>
      </c>
      <c r="O16" s="1">
        <v>200</v>
      </c>
      <c r="P16" s="1" t="s">
        <v>68</v>
      </c>
    </row>
    <row r="17" spans="1:16" x14ac:dyDescent="0.25">
      <c r="A17" s="1" t="s">
        <v>69</v>
      </c>
      <c r="B17" s="1" t="s">
        <v>5</v>
      </c>
      <c r="C17" s="1" t="s">
        <v>6</v>
      </c>
      <c r="D17" s="1" t="s">
        <v>70</v>
      </c>
      <c r="E17" s="1">
        <v>2</v>
      </c>
      <c r="F17" s="1" t="s">
        <v>24</v>
      </c>
      <c r="G17" s="1" t="s">
        <v>9</v>
      </c>
      <c r="H17" s="1" t="s">
        <v>38</v>
      </c>
      <c r="I17" s="1" t="s">
        <v>11</v>
      </c>
      <c r="J17" s="3">
        <v>0.54166666666666663</v>
      </c>
      <c r="K17" s="1" t="s">
        <v>12</v>
      </c>
      <c r="L17" s="1" t="s">
        <v>13</v>
      </c>
      <c r="M17" s="1" t="s">
        <v>14</v>
      </c>
      <c r="N17" s="1">
        <v>2</v>
      </c>
      <c r="O17" s="1">
        <v>2000</v>
      </c>
      <c r="P17" s="1" t="s">
        <v>71</v>
      </c>
    </row>
    <row r="18" spans="1:16" x14ac:dyDescent="0.25">
      <c r="A18" s="1" t="s">
        <v>72</v>
      </c>
      <c r="B18" s="1" t="s">
        <v>5</v>
      </c>
      <c r="C18" s="1" t="s">
        <v>6</v>
      </c>
      <c r="D18" s="1" t="s">
        <v>7</v>
      </c>
      <c r="E18" s="1">
        <v>3</v>
      </c>
      <c r="F18" s="1" t="s">
        <v>24</v>
      </c>
      <c r="G18" s="1" t="s">
        <v>9</v>
      </c>
      <c r="H18" s="1" t="s">
        <v>38</v>
      </c>
      <c r="I18" s="1" t="s">
        <v>21</v>
      </c>
      <c r="J18" s="3">
        <v>0.52083333333333337</v>
      </c>
      <c r="K18" s="1" t="s">
        <v>26</v>
      </c>
      <c r="L18" s="1" t="s">
        <v>13</v>
      </c>
      <c r="M18" s="1" t="s">
        <v>14</v>
      </c>
      <c r="N18" s="1">
        <v>4</v>
      </c>
      <c r="O18" s="1">
        <v>1500</v>
      </c>
      <c r="P18" s="1" t="s">
        <v>73</v>
      </c>
    </row>
    <row r="19" spans="1:16" x14ac:dyDescent="0.25">
      <c r="A19" s="1" t="s">
        <v>74</v>
      </c>
      <c r="B19" s="1" t="s">
        <v>49</v>
      </c>
      <c r="C19" s="1" t="s">
        <v>6</v>
      </c>
      <c r="D19" s="1" t="s">
        <v>75</v>
      </c>
      <c r="E19" s="1">
        <v>3</v>
      </c>
      <c r="F19" s="1" t="s">
        <v>24</v>
      </c>
      <c r="G19" s="1" t="s">
        <v>46</v>
      </c>
      <c r="H19" s="1" t="s">
        <v>38</v>
      </c>
      <c r="I19" s="1" t="s">
        <v>25</v>
      </c>
      <c r="J19" s="3">
        <v>0.45833333333333331</v>
      </c>
      <c r="K19" s="1" t="s">
        <v>51</v>
      </c>
      <c r="L19" s="1" t="s">
        <v>14</v>
      </c>
      <c r="M19" s="1" t="s">
        <v>14</v>
      </c>
      <c r="N19" s="1">
        <v>3</v>
      </c>
      <c r="O19" s="1">
        <v>200</v>
      </c>
      <c r="P19" s="1" t="s">
        <v>76</v>
      </c>
    </row>
    <row r="20" spans="1:16" x14ac:dyDescent="0.25">
      <c r="A20" s="1" t="s">
        <v>77</v>
      </c>
      <c r="B20" s="1" t="s">
        <v>49</v>
      </c>
      <c r="C20" s="1" t="s">
        <v>6</v>
      </c>
      <c r="D20" s="1" t="s">
        <v>75</v>
      </c>
      <c r="E20" s="1">
        <v>3</v>
      </c>
      <c r="F20" s="1" t="s">
        <v>8</v>
      </c>
      <c r="G20" s="1" t="s">
        <v>46</v>
      </c>
      <c r="H20" s="1" t="s">
        <v>78</v>
      </c>
      <c r="I20" s="1" t="s">
        <v>21</v>
      </c>
      <c r="J20" s="3">
        <v>0.41666666666666669</v>
      </c>
      <c r="K20" s="1" t="s">
        <v>79</v>
      </c>
      <c r="L20" s="1" t="s">
        <v>13</v>
      </c>
      <c r="M20" s="1" t="s">
        <v>14</v>
      </c>
      <c r="N20" s="1">
        <v>0</v>
      </c>
      <c r="O20" s="1">
        <v>0</v>
      </c>
      <c r="P20" s="1" t="s">
        <v>80</v>
      </c>
    </row>
    <row r="21" spans="1:16" x14ac:dyDescent="0.25">
      <c r="A21" s="1" t="s">
        <v>81</v>
      </c>
      <c r="B21" s="1" t="s">
        <v>17</v>
      </c>
      <c r="C21" s="1" t="s">
        <v>18</v>
      </c>
      <c r="D21" s="1" t="s">
        <v>82</v>
      </c>
      <c r="E21" s="1">
        <v>2</v>
      </c>
      <c r="F21" s="1" t="s">
        <v>24</v>
      </c>
      <c r="G21" s="1" t="s">
        <v>9</v>
      </c>
      <c r="H21" s="1" t="s">
        <v>38</v>
      </c>
      <c r="I21" s="1" t="s">
        <v>31</v>
      </c>
      <c r="J21" s="3">
        <v>0.58333333333333337</v>
      </c>
      <c r="K21" s="1" t="s">
        <v>12</v>
      </c>
      <c r="L21" s="1" t="s">
        <v>14</v>
      </c>
      <c r="M21" s="1" t="s">
        <v>14</v>
      </c>
      <c r="N21" s="1">
        <v>4</v>
      </c>
      <c r="O21" s="1">
        <v>4000</v>
      </c>
      <c r="P21" s="1" t="s">
        <v>83</v>
      </c>
    </row>
    <row r="22" spans="1:16" x14ac:dyDescent="0.25">
      <c r="A22" s="1" t="s">
        <v>84</v>
      </c>
      <c r="B22" s="1" t="s">
        <v>5</v>
      </c>
      <c r="C22" s="1" t="s">
        <v>6</v>
      </c>
      <c r="D22" s="1" t="s">
        <v>85</v>
      </c>
      <c r="E22" s="1">
        <v>4</v>
      </c>
      <c r="F22" s="1" t="s">
        <v>8</v>
      </c>
      <c r="G22" s="1" t="s">
        <v>9</v>
      </c>
      <c r="H22" s="1" t="s">
        <v>78</v>
      </c>
      <c r="I22" s="1" t="s">
        <v>11</v>
      </c>
      <c r="J22" s="3">
        <v>0.52083333333333337</v>
      </c>
      <c r="K22" s="1" t="s">
        <v>12</v>
      </c>
      <c r="L22" s="1" t="s">
        <v>13</v>
      </c>
      <c r="M22" s="1" t="s">
        <v>14</v>
      </c>
      <c r="N22" s="1">
        <v>0</v>
      </c>
      <c r="O22" s="1">
        <v>0</v>
      </c>
      <c r="P22" s="1" t="s">
        <v>35</v>
      </c>
    </row>
    <row r="23" spans="1:16" x14ac:dyDescent="0.25">
      <c r="A23" s="1" t="s">
        <v>86</v>
      </c>
      <c r="B23" s="1" t="s">
        <v>5</v>
      </c>
      <c r="C23" s="1" t="s">
        <v>18</v>
      </c>
      <c r="D23" s="1" t="s">
        <v>87</v>
      </c>
      <c r="E23" s="1">
        <v>2</v>
      </c>
      <c r="F23" s="1" t="s">
        <v>24</v>
      </c>
      <c r="G23" s="1" t="s">
        <v>9</v>
      </c>
      <c r="H23" s="1" t="s">
        <v>38</v>
      </c>
      <c r="I23" s="1" t="s">
        <v>31</v>
      </c>
      <c r="J23" s="3">
        <v>0.54166666666666663</v>
      </c>
      <c r="K23" s="1" t="s">
        <v>12</v>
      </c>
      <c r="L23" s="1" t="s">
        <v>14</v>
      </c>
      <c r="M23" s="1" t="s">
        <v>14</v>
      </c>
      <c r="N23" s="1">
        <v>0</v>
      </c>
      <c r="O23" s="1">
        <v>0</v>
      </c>
      <c r="P23" s="1" t="s">
        <v>88</v>
      </c>
    </row>
    <row r="24" spans="1:16" x14ac:dyDescent="0.25">
      <c r="A24" s="1" t="s">
        <v>89</v>
      </c>
      <c r="B24" s="1" t="s">
        <v>17</v>
      </c>
      <c r="C24" s="1" t="s">
        <v>6</v>
      </c>
      <c r="D24" s="1" t="s">
        <v>90</v>
      </c>
      <c r="E24" s="1">
        <v>2</v>
      </c>
      <c r="F24" s="1" t="s">
        <v>24</v>
      </c>
      <c r="G24" s="1" t="s">
        <v>9</v>
      </c>
      <c r="H24" s="1" t="s">
        <v>38</v>
      </c>
      <c r="I24" s="1" t="s">
        <v>25</v>
      </c>
      <c r="J24" s="3">
        <v>0.54166666666666663</v>
      </c>
      <c r="K24" s="1" t="s">
        <v>26</v>
      </c>
      <c r="L24" s="1" t="s">
        <v>14</v>
      </c>
      <c r="M24" s="1" t="s">
        <v>14</v>
      </c>
      <c r="N24" s="1">
        <v>4</v>
      </c>
      <c r="O24" s="1">
        <v>2000</v>
      </c>
      <c r="P24" s="1" t="s">
        <v>91</v>
      </c>
    </row>
    <row r="25" spans="1:16" x14ac:dyDescent="0.25">
      <c r="A25" s="1" t="s">
        <v>92</v>
      </c>
      <c r="B25" s="1" t="s">
        <v>17</v>
      </c>
      <c r="C25" s="1" t="s">
        <v>45</v>
      </c>
      <c r="D25" s="1" t="s">
        <v>93</v>
      </c>
      <c r="E25" s="1">
        <v>2</v>
      </c>
      <c r="F25" s="1" t="s">
        <v>8</v>
      </c>
      <c r="G25" s="1" t="s">
        <v>9</v>
      </c>
      <c r="H25" s="1" t="s">
        <v>38</v>
      </c>
      <c r="I25" s="1" t="s">
        <v>11</v>
      </c>
      <c r="J25" s="3">
        <v>0.54166666666666663</v>
      </c>
      <c r="K25" s="1" t="s">
        <v>12</v>
      </c>
      <c r="L25" s="1" t="s">
        <v>13</v>
      </c>
      <c r="M25" s="1" t="s">
        <v>107</v>
      </c>
      <c r="N25" s="1">
        <v>1</v>
      </c>
      <c r="O25" s="1">
        <v>500</v>
      </c>
      <c r="P25" s="1" t="s">
        <v>94</v>
      </c>
    </row>
    <row r="26" spans="1:16" x14ac:dyDescent="0.25">
      <c r="A26" s="1" t="s">
        <v>95</v>
      </c>
      <c r="B26" s="1" t="s">
        <v>5</v>
      </c>
      <c r="C26" s="1" t="s">
        <v>18</v>
      </c>
      <c r="D26" s="1" t="s">
        <v>96</v>
      </c>
      <c r="E26" s="1">
        <v>2</v>
      </c>
      <c r="F26" s="1" t="s">
        <v>24</v>
      </c>
      <c r="G26" s="1" t="s">
        <v>9</v>
      </c>
      <c r="H26" s="1" t="s">
        <v>38</v>
      </c>
      <c r="I26" s="1" t="s">
        <v>31</v>
      </c>
      <c r="J26" s="3">
        <v>0.58333333333333337</v>
      </c>
      <c r="K26" s="1" t="s">
        <v>107</v>
      </c>
      <c r="L26" s="1" t="s">
        <v>13</v>
      </c>
      <c r="M26" s="1" t="s">
        <v>14</v>
      </c>
      <c r="N26" s="1">
        <v>0</v>
      </c>
      <c r="O26" s="1">
        <v>0</v>
      </c>
      <c r="P26" s="1" t="s">
        <v>97</v>
      </c>
    </row>
    <row r="27" spans="1:16" x14ac:dyDescent="0.25">
      <c r="A27" s="1" t="s">
        <v>98</v>
      </c>
      <c r="B27" s="1" t="s">
        <v>5</v>
      </c>
      <c r="C27" s="1" t="s">
        <v>18</v>
      </c>
      <c r="D27" s="1" t="s">
        <v>99</v>
      </c>
      <c r="E27" s="1">
        <v>2</v>
      </c>
      <c r="F27" s="1" t="s">
        <v>8</v>
      </c>
      <c r="G27" s="1" t="s">
        <v>46</v>
      </c>
      <c r="H27" s="1" t="s">
        <v>10</v>
      </c>
      <c r="I27" s="1" t="s">
        <v>11</v>
      </c>
      <c r="J27" s="3">
        <v>0.58333333333333337</v>
      </c>
      <c r="K27" s="1" t="s">
        <v>26</v>
      </c>
      <c r="L27" s="1" t="s">
        <v>14</v>
      </c>
      <c r="M27" s="1" t="s">
        <v>14</v>
      </c>
      <c r="N27" s="1">
        <v>5</v>
      </c>
      <c r="O27" s="1">
        <v>3000</v>
      </c>
      <c r="P27" s="1" t="s">
        <v>107</v>
      </c>
    </row>
    <row r="28" spans="1:16" x14ac:dyDescent="0.25">
      <c r="A28" s="1" t="s">
        <v>100</v>
      </c>
      <c r="B28" s="1" t="s">
        <v>17</v>
      </c>
      <c r="C28" s="1" t="s">
        <v>18</v>
      </c>
      <c r="D28" s="1" t="s">
        <v>101</v>
      </c>
      <c r="E28" s="1">
        <v>2</v>
      </c>
      <c r="F28" s="1" t="s">
        <v>20</v>
      </c>
      <c r="G28" s="1" t="s">
        <v>9</v>
      </c>
      <c r="H28" s="1" t="s">
        <v>78</v>
      </c>
      <c r="I28" s="1" t="s">
        <v>25</v>
      </c>
      <c r="J28" s="3">
        <v>0.54166666666666663</v>
      </c>
      <c r="K28" s="1" t="s">
        <v>12</v>
      </c>
      <c r="L28" s="1" t="s">
        <v>13</v>
      </c>
      <c r="M28" s="1" t="s">
        <v>14</v>
      </c>
      <c r="N28" s="1">
        <v>2</v>
      </c>
      <c r="O28" s="1">
        <v>2000</v>
      </c>
      <c r="P28" s="1" t="s">
        <v>102</v>
      </c>
    </row>
    <row r="29" spans="1:16" x14ac:dyDescent="0.25">
      <c r="A29" s="1" t="s">
        <v>103</v>
      </c>
      <c r="B29" s="1" t="s">
        <v>5</v>
      </c>
      <c r="C29" s="1" t="s">
        <v>6</v>
      </c>
      <c r="D29" s="1" t="s">
        <v>50</v>
      </c>
      <c r="E29" s="1">
        <v>2</v>
      </c>
      <c r="F29" s="1" t="s">
        <v>8</v>
      </c>
      <c r="G29" s="1" t="s">
        <v>46</v>
      </c>
      <c r="H29" s="1" t="s">
        <v>10</v>
      </c>
      <c r="I29" s="1" t="s">
        <v>31</v>
      </c>
      <c r="J29" s="3">
        <v>0.45833333333333331</v>
      </c>
      <c r="K29" s="1" t="s">
        <v>12</v>
      </c>
      <c r="L29" s="1" t="s">
        <v>13</v>
      </c>
      <c r="M29" s="1" t="s">
        <v>14</v>
      </c>
      <c r="N29" s="1">
        <v>1</v>
      </c>
      <c r="O29" s="1">
        <v>200</v>
      </c>
      <c r="P29" s="1" t="s">
        <v>107</v>
      </c>
    </row>
    <row r="30" spans="1:16" x14ac:dyDescent="0.25">
      <c r="A30" s="1" t="s">
        <v>104</v>
      </c>
      <c r="B30" s="1" t="s">
        <v>49</v>
      </c>
      <c r="C30" s="1" t="s">
        <v>6</v>
      </c>
      <c r="D30" s="1" t="s">
        <v>50</v>
      </c>
      <c r="E30" s="1">
        <v>3</v>
      </c>
      <c r="F30" s="1" t="s">
        <v>24</v>
      </c>
      <c r="G30" s="1" t="s">
        <v>9</v>
      </c>
      <c r="H30" s="1" t="s">
        <v>78</v>
      </c>
      <c r="I30" s="1" t="s">
        <v>25</v>
      </c>
      <c r="J30" s="3">
        <v>0.41666666666666669</v>
      </c>
      <c r="K30" s="1" t="s">
        <v>26</v>
      </c>
      <c r="L30" s="1" t="s">
        <v>14</v>
      </c>
      <c r="M30" s="1" t="s">
        <v>13</v>
      </c>
      <c r="N30" s="1">
        <v>4</v>
      </c>
      <c r="O30" s="1">
        <v>500</v>
      </c>
      <c r="P30" s="1" t="s">
        <v>107</v>
      </c>
    </row>
    <row r="31" spans="1:16" x14ac:dyDescent="0.25">
      <c r="A31" s="1" t="s">
        <v>105</v>
      </c>
      <c r="B31" s="1" t="s">
        <v>17</v>
      </c>
      <c r="C31" s="1" t="s">
        <v>6</v>
      </c>
      <c r="D31" s="1" t="s">
        <v>106</v>
      </c>
      <c r="E31" s="1">
        <v>3</v>
      </c>
      <c r="F31" s="1" t="s">
        <v>24</v>
      </c>
      <c r="G31" s="1" t="s">
        <v>46</v>
      </c>
      <c r="H31" s="1" t="s">
        <v>78</v>
      </c>
      <c r="I31" s="1" t="s">
        <v>21</v>
      </c>
      <c r="J31" s="3">
        <v>0.54166666666666663</v>
      </c>
      <c r="K31" s="1" t="s">
        <v>12</v>
      </c>
      <c r="L31" s="1" t="s">
        <v>13</v>
      </c>
      <c r="M31" s="1" t="s">
        <v>14</v>
      </c>
      <c r="N31" s="1">
        <v>1</v>
      </c>
      <c r="O31" s="1">
        <v>500</v>
      </c>
      <c r="P31" s="1" t="s">
        <v>47</v>
      </c>
    </row>
    <row r="33" spans="1:6" ht="15.6" x14ac:dyDescent="0.25">
      <c r="A33" s="4" t="s">
        <v>126</v>
      </c>
    </row>
    <row r="34" spans="1:6" ht="15.6" x14ac:dyDescent="0.25">
      <c r="A34" s="16" t="s">
        <v>118</v>
      </c>
      <c r="E34" s="17">
        <f>AVERAGE(Form_Responses_1_1_1[Eating frquency /Day])</f>
        <v>2.9333333333333331</v>
      </c>
      <c r="F34" s="14" t="s">
        <v>128</v>
      </c>
    </row>
    <row r="36" spans="1:6" ht="15.6" x14ac:dyDescent="0.25">
      <c r="A36" s="16" t="s">
        <v>119</v>
      </c>
      <c r="E36" s="6" t="s">
        <v>131</v>
      </c>
      <c r="F36" s="5" t="s">
        <v>130</v>
      </c>
    </row>
    <row r="37" spans="1:6" x14ac:dyDescent="0.25">
      <c r="E37" s="7" t="s">
        <v>79</v>
      </c>
      <c r="F37" s="5">
        <v>1</v>
      </c>
    </row>
    <row r="38" spans="1:6" x14ac:dyDescent="0.25">
      <c r="E38" s="12" t="s">
        <v>12</v>
      </c>
      <c r="F38" s="13">
        <v>17</v>
      </c>
    </row>
    <row r="39" spans="1:6" x14ac:dyDescent="0.25">
      <c r="E39" s="8" t="s">
        <v>107</v>
      </c>
      <c r="F39" s="9">
        <v>2</v>
      </c>
    </row>
    <row r="40" spans="1:6" x14ac:dyDescent="0.25">
      <c r="E40" s="8" t="s">
        <v>26</v>
      </c>
      <c r="F40" s="9">
        <v>8</v>
      </c>
    </row>
    <row r="41" spans="1:6" x14ac:dyDescent="0.25">
      <c r="E41" s="10" t="s">
        <v>51</v>
      </c>
      <c r="F41" s="11">
        <v>2</v>
      </c>
    </row>
    <row r="43" spans="1:6" ht="15.6" x14ac:dyDescent="0.25">
      <c r="A43" s="16" t="s">
        <v>120</v>
      </c>
      <c r="E43" s="15">
        <f>COUNTIF(Form_Responses_1_1_1[Eating habits impact],$M$27)</f>
        <v>27</v>
      </c>
    </row>
    <row r="45" spans="1:6" ht="15.6" x14ac:dyDescent="0.25">
      <c r="A45" s="16" t="s">
        <v>121</v>
      </c>
      <c r="E45" s="15">
        <f>AVERAGE(Form_Responses_1_1_1[Eating total spent per month])</f>
        <v>1110</v>
      </c>
    </row>
    <row r="47" spans="1:6" ht="15.6" x14ac:dyDescent="0.25">
      <c r="A47" s="16" t="s">
        <v>122</v>
      </c>
      <c r="E47" s="6" t="s">
        <v>131</v>
      </c>
      <c r="F47" s="5" t="s">
        <v>132</v>
      </c>
    </row>
    <row r="48" spans="1:6" x14ac:dyDescent="0.25">
      <c r="E48" s="7" t="s">
        <v>49</v>
      </c>
      <c r="F48" s="5">
        <v>14</v>
      </c>
    </row>
    <row r="49" spans="1:6" x14ac:dyDescent="0.25">
      <c r="E49" s="8" t="s">
        <v>5</v>
      </c>
      <c r="F49" s="9">
        <v>49</v>
      </c>
    </row>
    <row r="50" spans="1:6" x14ac:dyDescent="0.25">
      <c r="E50" s="8" t="s">
        <v>17</v>
      </c>
      <c r="F50" s="9">
        <v>19</v>
      </c>
    </row>
    <row r="51" spans="1:6" x14ac:dyDescent="0.25">
      <c r="E51" s="10" t="s">
        <v>44</v>
      </c>
      <c r="F51" s="11">
        <v>5</v>
      </c>
    </row>
    <row r="52" spans="1:6" ht="15.6" x14ac:dyDescent="0.25">
      <c r="A52" s="4" t="s">
        <v>127</v>
      </c>
    </row>
    <row r="53" spans="1:6" ht="15.6" x14ac:dyDescent="0.25">
      <c r="A53" s="16" t="s">
        <v>123</v>
      </c>
    </row>
    <row r="64" spans="1:6" ht="15.6" x14ac:dyDescent="0.25">
      <c r="A64" s="16" t="s">
        <v>124</v>
      </c>
    </row>
    <row r="77" spans="1:1" ht="15.6" x14ac:dyDescent="0.25">
      <c r="A77" s="16" t="s">
        <v>125</v>
      </c>
    </row>
    <row r="89" spans="1:1" ht="15.6" x14ac:dyDescent="0.25">
      <c r="A89" s="16" t="s">
        <v>134</v>
      </c>
    </row>
  </sheetData>
  <sheetProtection algorithmName="SHA-512" hashValue="aVM5VOn0XGcxVh2ZZexc2GSTL/YUVuDGmzdjzyfbES3GSRGDoeSoo2qVqXKImnn3CODbsBf1eAhoA/eUJ6Z1EQ==" saltValue="7Oc61jKEDgn2Zovhs2lYug==" spinCount="100000" sheet="1" objects="1" scenarios="1"/>
  <conditionalFormatting sqref="E100:F100 E102:E10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:G47 E48:E51 G48:G5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4:G84 E85:E88 G85:G8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:G5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4:G84 G85:G8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602F52-9E55-4871-84E6-5EC81153CC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Eating Habit And Health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Snehal Genge</cp:lastModifiedBy>
  <dcterms:created xsi:type="dcterms:W3CDTF">2026-09-21T04:53:23Z</dcterms:created>
  <dcterms:modified xsi:type="dcterms:W3CDTF">2026-09-21T11:59:21Z</dcterms:modified>
</cp:coreProperties>
</file>