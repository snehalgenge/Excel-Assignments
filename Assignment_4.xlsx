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CB78692-726E-4AA1-B386-879227912B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Sheet1!$B$209:$I$229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4" i="1" l="1" a="1"/>
  <c r="I124" i="1" s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182" i="1" a="1"/>
  <c r="I182" i="1" s="1"/>
  <c r="I183" i="1" a="1"/>
  <c r="I183" i="1" s="1"/>
  <c r="I184" i="1" a="1"/>
  <c r="I184" i="1"/>
  <c r="I185" i="1" a="1"/>
  <c r="I185" i="1"/>
  <c r="I186" i="1" a="1"/>
  <c r="I186" i="1"/>
  <c r="I187" i="1" a="1"/>
  <c r="I187" i="1" s="1"/>
  <c r="I188" i="1" a="1"/>
  <c r="I188" i="1"/>
  <c r="I189" i="1" a="1"/>
  <c r="I189" i="1"/>
  <c r="I190" i="1" a="1"/>
  <c r="I190" i="1"/>
  <c r="I191" i="1" a="1"/>
  <c r="I191" i="1" s="1"/>
  <c r="I192" i="1" a="1"/>
  <c r="I192" i="1"/>
  <c r="I193" i="1" a="1"/>
  <c r="I193" i="1"/>
  <c r="I194" i="1" a="1"/>
  <c r="I194" i="1"/>
  <c r="I195" i="1" a="1"/>
  <c r="I195" i="1" s="1"/>
  <c r="I196" i="1" a="1"/>
  <c r="I196" i="1"/>
  <c r="I197" i="1" a="1"/>
  <c r="I197" i="1"/>
  <c r="I198" i="1" a="1"/>
  <c r="I198" i="1" s="1"/>
  <c r="I199" i="1" a="1"/>
  <c r="I199" i="1" s="1"/>
  <c r="I200" i="1" a="1"/>
  <c r="I200" i="1"/>
  <c r="I181" i="1" a="1"/>
  <c r="I181" i="1" s="1"/>
  <c r="I153" i="1" a="1"/>
  <c r="I153" i="1" s="1"/>
  <c r="I154" i="1" a="1"/>
  <c r="I154" i="1" s="1"/>
  <c r="I155" i="1" a="1"/>
  <c r="I155" i="1"/>
  <c r="I156" i="1" a="1"/>
  <c r="I156" i="1"/>
  <c r="I157" i="1" a="1"/>
  <c r="I157" i="1"/>
  <c r="I158" i="1" a="1"/>
  <c r="I158" i="1" s="1"/>
  <c r="I159" i="1" a="1"/>
  <c r="I159" i="1"/>
  <c r="I160" i="1" a="1"/>
  <c r="I160" i="1"/>
  <c r="I161" i="1" a="1"/>
  <c r="I161" i="1" s="1"/>
  <c r="I162" i="1" a="1"/>
  <c r="I162" i="1" s="1"/>
  <c r="I163" i="1" a="1"/>
  <c r="I163" i="1"/>
  <c r="I164" i="1" a="1"/>
  <c r="I164" i="1"/>
  <c r="I165" i="1" a="1"/>
  <c r="I165" i="1"/>
  <c r="I166" i="1" a="1"/>
  <c r="I166" i="1" s="1"/>
  <c r="I167" i="1" a="1"/>
  <c r="I167" i="1"/>
  <c r="I168" i="1" a="1"/>
  <c r="I168" i="1"/>
  <c r="I169" i="1" a="1"/>
  <c r="I169" i="1"/>
  <c r="I170" i="1" a="1"/>
  <c r="I170" i="1" s="1"/>
  <c r="I171" i="1" a="1"/>
  <c r="I171" i="1" s="1"/>
  <c r="I152" i="1" a="1"/>
  <c r="I152" i="1" s="1"/>
  <c r="I125" i="1" a="1"/>
  <c r="I125" i="1" s="1"/>
  <c r="I126" i="1" a="1"/>
  <c r="I126" i="1"/>
  <c r="I127" i="1" a="1"/>
  <c r="I127" i="1" s="1"/>
  <c r="I128" i="1" a="1"/>
  <c r="I128" i="1" s="1"/>
  <c r="I129" i="1" a="1"/>
  <c r="I129" i="1" s="1"/>
  <c r="I130" i="1" a="1"/>
  <c r="I130" i="1"/>
  <c r="I131" i="1" a="1"/>
  <c r="I131" i="1" s="1"/>
  <c r="I132" i="1" a="1"/>
  <c r="I132" i="1" s="1"/>
  <c r="I133" i="1" a="1"/>
  <c r="I133" i="1" s="1"/>
  <c r="I134" i="1" a="1"/>
  <c r="I134" i="1"/>
  <c r="I135" i="1" a="1"/>
  <c r="I135" i="1" s="1"/>
  <c r="I136" i="1" a="1"/>
  <c r="I136" i="1" s="1"/>
  <c r="I137" i="1" a="1"/>
  <c r="I137" i="1" s="1"/>
  <c r="I138" i="1" a="1"/>
  <c r="I138" i="1"/>
  <c r="I139" i="1" a="1"/>
  <c r="I139" i="1" s="1"/>
  <c r="I140" i="1" a="1"/>
  <c r="I140" i="1" s="1"/>
  <c r="I141" i="1" a="1"/>
  <c r="I141" i="1" s="1"/>
  <c r="I142" i="1" a="1"/>
  <c r="I142" i="1" s="1"/>
  <c r="I123" i="1" a="1"/>
  <c r="I123" i="1" s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<sst xmlns="http://schemas.openxmlformats.org/spreadsheetml/2006/main" count="747" uniqueCount="63">
  <si>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</si>
  <si>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</si>
  <si>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</si>
  <si>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</si>
  <si>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</si>
  <si>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</si>
  <si>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</si>
  <si>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</si>
  <si>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</si>
  <si>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</si>
  <si>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</si>
  <si>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</si>
  <si>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</si>
  <si>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</si>
  <si>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</si>
  <si>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</si>
  <si>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</si>
  <si>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</si>
  <si>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</si>
  <si>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</si>
  <si>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</si>
  <si>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</si>
  <si>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</si>
  <si>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</si>
  <si>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</si>
  <si>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</si>
  <si>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</si>
  <si>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</si>
  <si>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</si>
  <si>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</si>
  <si>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</si>
  <si>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</si>
  <si>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</si>
  <si>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</si>
  <si>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</si>
  <si>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</si>
  <si>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</si>
  <si>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</si>
  <si>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</si>
  <si>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</si>
  <si>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</si>
  <si>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</si>
  <si>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</si>
  <si>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</si>
  <si>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</si>
  <si>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</si>
  <si>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</si>
  <si>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</si>
  <si>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</si>
  <si>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</si>
  <si>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</si>
  <si>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</si>
  <si>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</si>
  <si>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</si>
  <si>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</si>
  <si>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</si>
  <si>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</si>
  <si>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</si>
  <si>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</si>
  <si>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</si>
  <si>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</si>
  <si>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</si>
  <si>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Exercise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</si>
</sst>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10" fontId="1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3</xdr:row>
      <xdr:rowOff>173567</xdr:rowOff>
    </xdr:from>
    <xdr:to>
      <xdr:col>19</xdr:col>
      <xdr:colOff>449156</xdr:colOff>
      <xdr:row>8</xdr:row>
      <xdr:rowOff>139700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669867" y="791634"/>
          <a:ext cx="6909223" cy="143086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305224</xdr:colOff>
      <xdr:row>13</xdr:row>
      <xdr:rowOff>137583</xdr:rowOff>
    </xdr:from>
    <xdr:to>
      <xdr:col>19</xdr:col>
      <xdr:colOff>383964</xdr:colOff>
      <xdr:row>22</xdr:row>
      <xdr:rowOff>47625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119957" y="3194050"/>
          <a:ext cx="747860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164042</xdr:colOff>
      <xdr:row>32</xdr:row>
      <xdr:rowOff>35984</xdr:rowOff>
    </xdr:from>
    <xdr:to>
      <xdr:col>19</xdr:col>
      <xdr:colOff>244475</xdr:colOff>
      <xdr:row>40</xdr:row>
      <xdr:rowOff>140759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78775" y="7317317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556684</xdr:colOff>
      <xdr:row>54</xdr:row>
      <xdr:rowOff>176742</xdr:rowOff>
    </xdr:from>
    <xdr:to>
      <xdr:col>19</xdr:col>
      <xdr:colOff>637117</xdr:colOff>
      <xdr:row>63</xdr:row>
      <xdr:rowOff>86784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71417" y="12267142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525992</xdr:colOff>
      <xdr:row>81</xdr:row>
      <xdr:rowOff>40216</xdr:rowOff>
    </xdr:from>
    <xdr:to>
      <xdr:col>19</xdr:col>
      <xdr:colOff>589492</xdr:colOff>
      <xdr:row>89</xdr:row>
      <xdr:rowOff>154516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340725" y="18141949"/>
          <a:ext cx="7463367" cy="1672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500592</xdr:colOff>
      <xdr:row>103</xdr:row>
      <xdr:rowOff>59267</xdr:rowOff>
    </xdr:from>
    <xdr:to>
      <xdr:col>19</xdr:col>
      <xdr:colOff>564092</xdr:colOff>
      <xdr:row>111</xdr:row>
      <xdr:rowOff>164042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315325" y="22970067"/>
          <a:ext cx="746336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162348</xdr:colOff>
      <xdr:row>127</xdr:row>
      <xdr:rowOff>46355</xdr:rowOff>
    </xdr:from>
    <xdr:to>
      <xdr:col>19</xdr:col>
      <xdr:colOff>944456</xdr:colOff>
      <xdr:row>135</xdr:row>
      <xdr:rowOff>145838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603615" y="28155688"/>
          <a:ext cx="747077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373592</xdr:colOff>
      <xdr:row>155</xdr:row>
      <xdr:rowOff>21167</xdr:rowOff>
    </xdr:from>
    <xdr:to>
      <xdr:col>19</xdr:col>
      <xdr:colOff>437092</xdr:colOff>
      <xdr:row>163</xdr:row>
      <xdr:rowOff>130176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188325" y="34141834"/>
          <a:ext cx="7463367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460376</xdr:colOff>
      <xdr:row>183</xdr:row>
      <xdr:rowOff>118533</xdr:rowOff>
    </xdr:from>
    <xdr:to>
      <xdr:col>19</xdr:col>
      <xdr:colOff>523876</xdr:colOff>
      <xdr:row>192</xdr:row>
      <xdr:rowOff>28574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275109" y="40250533"/>
          <a:ext cx="7463367" cy="166264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85725</xdr:colOff>
      <xdr:row>212</xdr:row>
      <xdr:rowOff>43391</xdr:rowOff>
    </xdr:from>
    <xdr:to>
      <xdr:col>19</xdr:col>
      <xdr:colOff>860425</xdr:colOff>
      <xdr:row>223</xdr:row>
      <xdr:rowOff>119592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526992" y="46381458"/>
          <a:ext cx="7463367" cy="221826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A187" zoomScale="90" zoomScaleNormal="90" workbookViewId="0">
      <selection activeCell="G189" sqref="G189"/>
    </sheetView>
  </sheetViews>
  <sheetFormatPr defaultColWidth="9.109375" defaultRowHeight="14.4"/>
  <cols>
    <col min="1" max="1" width="2.88671875" customWidth="1"/>
    <col min="2" max="2" width="12.33203125" customWidth="1"/>
    <col min="3" max="3" width="15.33203125" customWidth="1"/>
    <col min="4" max="4" width="12" customWidth="1"/>
    <col min="5" max="5" width="12.109375" customWidth="1"/>
    <col min="6" max="6" width="20.33203125" bestFit="1" customWidth="1"/>
    <col min="7" max="7" width="16.109375" bestFit="1" customWidth="1"/>
    <col min="8" max="12" width="10.33203125" bestFit="1" customWidth="1"/>
    <col min="13" max="13" width="9.44140625" bestFit="1" customWidth="1"/>
    <col min="14" max="14" width="11.21875" bestFit="1" customWidth="1"/>
    <col min="15" max="15" width="12.21875" bestFit="1" customWidth="1"/>
    <col min="16" max="16" width="15.33203125" bestFit="1" customWidth="1"/>
    <col min="17" max="17" width="12.21875" bestFit="1" customWidth="1"/>
    <col min="18" max="18" width="15.33203125" bestFit="1" customWidth="1"/>
    <col min="19" max="19" width="11.33203125" bestFit="1" customWidth="1"/>
    <col min="20" max="20" width="14.33203125" bestFit="1" customWidth="1"/>
    <col min="21" max="21" width="11.21875" bestFit="1" customWidth="1"/>
    <col min="22" max="22" width="10.6640625" bestFit="1" customWidth="1"/>
    <col min="23" max="23" width="13.5546875" bestFit="1" customWidth="1"/>
    <col min="24" max="24" width="10.6640625" bestFit="1" customWidth="1"/>
    <col min="25" max="25" width="13.5546875" bestFit="1" customWidth="1"/>
    <col min="26" max="26" width="11.77734375" bestFit="1" customWidth="1"/>
    <col min="27" max="27" width="14.77734375" bestFit="1" customWidth="1"/>
    <col min="28" max="28" width="11.77734375" bestFit="1" customWidth="1"/>
    <col min="29" max="29" width="14.77734375" bestFit="1" customWidth="1"/>
    <col min="30" max="30" width="11.77734375" bestFit="1" customWidth="1"/>
    <col min="31" max="31" width="14.77734375" bestFit="1" customWidth="1"/>
    <col min="32" max="32" width="11.77734375" bestFit="1" customWidth="1"/>
    <col min="33" max="33" width="14.77734375" bestFit="1" customWidth="1"/>
    <col min="34" max="34" width="11.33203125" bestFit="1" customWidth="1"/>
    <col min="35" max="35" width="14.33203125" bestFit="1" customWidth="1"/>
    <col min="36" max="36" width="11.33203125" bestFit="1" customWidth="1"/>
    <col min="37" max="37" width="14.33203125" bestFit="1" customWidth="1"/>
    <col min="38" max="38" width="12.44140625" bestFit="1" customWidth="1"/>
    <col min="39" max="39" width="15.5546875" bestFit="1" customWidth="1"/>
    <col min="40" max="40" width="12.44140625" bestFit="1" customWidth="1"/>
    <col min="41" max="41" width="15.5546875" bestFit="1" customWidth="1"/>
    <col min="42" max="42" width="12.44140625" bestFit="1" customWidth="1"/>
    <col min="43" max="43" width="10.5546875" bestFit="1" customWidth="1"/>
    <col min="44" max="44" width="15.5546875" bestFit="1" customWidth="1"/>
    <col min="45" max="45" width="11.21875" bestFit="1" customWidth="1"/>
    <col min="46" max="46" width="15.5546875" bestFit="1" customWidth="1"/>
    <col min="47" max="47" width="11.21875" bestFit="1" customWidth="1"/>
    <col min="48" max="48" width="12.44140625" bestFit="1" customWidth="1"/>
    <col min="49" max="49" width="15.5546875" bestFit="1" customWidth="1"/>
    <col min="50" max="50" width="11.33203125" bestFit="1" customWidth="1"/>
    <col min="51" max="51" width="11.21875" bestFit="1" customWidth="1"/>
  </cols>
  <sheetData>
    <row r="1" spans="1:22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4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 t="b">
        <f>IF(AND(C5=$C$5,F5=$F$6),TRUE,FALSE)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 t="b">
        <f t="shared" ref="I6:I24" si="0">IF(AND(C6=$C$5,F6=$F$6),TRUE,FALSE)</f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 t="b">
        <f t="shared" si="0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 t="b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 t="b">
        <f t="shared" si="0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 t="b">
        <f t="shared" si="0"/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 t="b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 t="b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 t="b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6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 t="b">
        <f t="shared" si="0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 t="b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 t="b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 t="b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 t="b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 t="b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 t="b">
        <f t="shared" si="0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 t="b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 t="b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 t="b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 t="b">
        <f t="shared" si="0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4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 t="b">
        <f>IF(OR(C29=$C$29,F29=$F$6),TRUE,FALSE)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 t="b">
        <f t="shared" ref="I30:I48" si="1">IF(OR(C30=$C$29,F30=$F$6),TRUE,FALSE)</f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 t="b">
        <f t="shared" si="1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 t="b">
        <f t="shared" si="1"/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 t="b">
        <f t="shared" si="1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 t="b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6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 t="b">
        <f t="shared" si="1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 t="b">
        <f t="shared" si="1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 t="b">
        <f t="shared" si="1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 t="b">
        <f t="shared" si="1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 t="b">
        <f t="shared" si="1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 t="b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 t="b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72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IF($B53=$E53,TRUE,FALSE)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IF($B54=$E54,TRUE,FALSE)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6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6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08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b">
        <f>IF(AND(OR(C77=$C$77,C77=$C$83),G77=$G$77),TRUE,FALSE)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b">
        <f t="shared" ref="I78:I96" si="3">IF(AND(OR(C78=$C$77,C78=$C$83),G78=$G$77),TRUE,FALSE)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b">
        <f t="shared" si="3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b">
        <f t="shared" si="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b">
        <f t="shared" si="3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b">
        <f t="shared" si="3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b">
        <f t="shared" si="3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b">
        <f t="shared" si="3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b">
        <f t="shared" si="3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b">
        <f t="shared" si="3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b">
        <f t="shared" si="3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b">
        <f t="shared" si="3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b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b">
        <f t="shared" si="3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b">
        <f t="shared" si="3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b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b">
        <f t="shared" si="3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b">
        <f t="shared" si="3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b">
        <f t="shared" si="3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b">
        <f t="shared" si="3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4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1" t="str">
        <f>IF(AND($B100=$E100),"Same Day","Delayed")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1" t="str">
        <f t="shared" ref="I101:I119" si="4">IF(AND($B101=$E101),"Same Day","Delayed")</f>
        <v>Delayed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1" t="str">
        <f t="shared" si="4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1" t="str">
        <f t="shared" si="4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1" t="str">
        <f t="shared" si="4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1" t="str">
        <f t="shared" si="4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1" t="str">
        <f t="shared" si="4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1" t="str">
        <f t="shared" si="4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1" t="str">
        <f t="shared" si="4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1" t="str">
        <f t="shared" si="4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1" t="str">
        <f t="shared" si="4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1" t="str">
        <f t="shared" si="4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1" t="str">
        <f t="shared" si="4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1" t="str">
        <f t="shared" si="4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1" t="str">
        <f t="shared" si="4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1" t="str">
        <f t="shared" si="4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1" t="str">
        <f t="shared" si="4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1" t="str">
        <f t="shared" si="4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1" t="str">
        <f t="shared" si="4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1" t="str">
        <f t="shared" si="4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8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/>
      <c r="K122" s="1"/>
      <c r="L122" s="1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5.6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23" cm="1">
        <f t="array" ref="I123">_xlfn.IFS(AND(D123&gt;500,D123&lt;=1200),D123*0.01%,AND(D123&gt;1200,D123&lt;=1700),D123*0.03%,AND(D123&gt;1700,D123&lt;=2800),D123*0.07%,D123&gt;2800,D123*0.15%)</f>
        <v>1.7359580000000003</v>
      </c>
      <c r="J123" s="1"/>
      <c r="K123" s="1"/>
      <c r="L123" s="1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5.6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23" cm="1">
        <f t="array" ref="I124">_xlfn.IFS(AND(D124&gt;500,D124&lt;=1200),D124*0.01%,AND(D124&gt;1200,D124&lt;=1700),D124*0.03%,AND(D124&gt;1700,D124&lt;=2800),D124*0.07%,D124&gt;2800,D124*0.15%)</f>
        <v>1.2130930000000002</v>
      </c>
      <c r="J124" s="1"/>
      <c r="K124" s="1"/>
      <c r="L124" s="1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5.6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23" cm="1">
        <f t="array" ref="I125">_xlfn.IFS(AND(D125&gt;500,D125&lt;=1200),D125*0.01%,AND(D125&gt;1200,D125&lt;=1700),D125*0.03%,AND(D125&gt;1700,D125&lt;=2800),D125*0.07%,D125&gt;2800,D125*0.15%)</f>
        <v>0.11749900000000001</v>
      </c>
      <c r="J125" s="1"/>
      <c r="K125" s="1"/>
      <c r="L125" s="1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5.6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23" cm="1">
        <f t="array" ref="I126">_xlfn.IFS(AND(D126&gt;500,D126&lt;=1200),D126*0.01%,AND(D126&gt;1200,D126&lt;=1700),D126*0.03%,AND(D126&gt;1700,D126&lt;=2800),D126*0.07%,D126&gt;2800,D126*0.15%)</f>
        <v>1.2599930000000001</v>
      </c>
      <c r="J126" s="1"/>
      <c r="K126" s="1"/>
      <c r="L126" s="1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5.6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23" cm="1">
        <f t="array" ref="I127">_xlfn.IFS(AND(D127&gt;500,D127&lt;=1200),D127*0.01%,AND(D127&gt;1200,D127&lt;=1700),D127*0.03%,AND(D127&gt;1700,D127&lt;=2800),D127*0.07%,D127&gt;2800,D127*0.15%)</f>
        <v>4.7474850000000002</v>
      </c>
      <c r="J127" s="1"/>
      <c r="K127" s="1"/>
      <c r="L127" s="1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5.6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23" cm="1">
        <f t="array" ref="I128">_xlfn.IFS(AND(D128&gt;500,D128&lt;=1200),D128*0.01%,AND(D128&gt;1200,D128&lt;=1700),D128*0.03%,AND(D128&gt;1700,D128&lt;=2800),D128*0.07%,D128&gt;2800,D128*0.15%)</f>
        <v>0.11990000000000001</v>
      </c>
      <c r="J128" s="1"/>
      <c r="K128" s="1"/>
      <c r="L128" s="1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5.6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23" cm="1">
        <f t="array" ref="I129">_xlfn.IFS(AND(D129&gt;500,D129&lt;=1200),D129*0.01%,AND(D129&gt;1200,D129&lt;=1700),D129*0.03%,AND(D129&gt;1700,D129&lt;=2800),D129*0.07%,D129&gt;2800,D129*0.15%)</f>
        <v>6.9995000000000002E-2</v>
      </c>
      <c r="J129" s="1"/>
      <c r="K129" s="1"/>
      <c r="L129" s="1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5.6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23" cm="1">
        <f t="array" ref="I130">_xlfn.IFS(AND(D130&gt;500,D130&lt;=1200),D130*0.01%,AND(D130&gt;1200,D130&lt;=1700),D130*0.03%,AND(D130&gt;1700,D130&lt;=2800),D130*0.07%,D130&gt;2800,D130*0.15%)</f>
        <v>9.4899999999999998E-2</v>
      </c>
      <c r="J130" s="1"/>
      <c r="K130" s="1"/>
      <c r="L130" s="1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5.6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23" t="e" cm="1">
        <f t="array" ref="I131">_xlfn.IFS(AND(D131&gt;500,D131&lt;=1200),D131*0.01%,AND(D131&gt;1200,D131&lt;=1700),D131*0.03%,AND(D131&gt;1700,D131&lt;=2800),D131*0.07%,D131&gt;2800,D131*0.15%)</f>
        <v>#N/A</v>
      </c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5.6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23" cm="1">
        <f t="array" ref="I132">_xlfn.IFS(AND(D132&gt;500,D132&lt;=1200),D132*0.01%,AND(D132&gt;1200,D132&lt;=1700),D132*0.03%,AND(D132&gt;1700,D132&lt;=2800),D132*0.07%,D132&gt;2800,D132*0.15%)</f>
        <v>0.45749999999999996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23" t="e" cm="1">
        <f t="array" ref="I133">_xlfn.IFS(AND(D133&gt;500,D133&lt;=1200),D133*0.01%,AND(D133&gt;1200,D133&lt;=1700),D133*0.03%,AND(D133&gt;1700,D133&lt;=2800),D133*0.07%,D133&gt;2800,D133*0.15%)</f>
        <v>#N/A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23" t="e" cm="1">
        <f t="array" ref="I134">_xlfn.IFS(AND(D134&gt;500,D134&lt;=1200),D134*0.01%,AND(D134&gt;1200,D134&lt;=1700),D134*0.03%,AND(D134&gt;1700,D134&lt;=2800),D134*0.07%,D134&gt;2800,D134*0.15%)</f>
        <v>#N/A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23" t="e" cm="1">
        <f t="array" ref="I135">_xlfn.IFS(AND(D135&gt;500,D135&lt;=1200),D135*0.01%,AND(D135&gt;1200,D135&lt;=1700),D135*0.03%,AND(D135&gt;1700,D135&lt;=2800),D135*0.07%,D135&gt;2800,D135*0.15%)</f>
        <v>#N/A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23" t="e" cm="1">
        <f t="array" ref="I136">_xlfn.IFS(AND(D136&gt;500,D136&lt;=1200),D136*0.01%,AND(D136&gt;1200,D136&lt;=1700),D136*0.03%,AND(D136&gt;1700,D136&lt;=2800),D136*0.07%,D136&gt;2800,D136*0.15%)</f>
        <v>#N/A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23" t="e" cm="1">
        <f t="array" ref="I137">_xlfn.IFS(AND(D137&gt;500,D137&lt;=1200),D137*0.01%,AND(D137&gt;1200,D137&lt;=1700),D137*0.03%,AND(D137&gt;1700,D137&lt;=2800),D137*0.07%,D137&gt;2800,D137*0.15%)</f>
        <v>#N/A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23" cm="1">
        <f t="array" ref="I138">_xlfn.IFS(AND(D138&gt;500,D138&lt;=1200),D138*0.01%,AND(D138&gt;1200,D138&lt;=1700),D138*0.03%,AND(D138&gt;1700,D138&lt;=2800),D138*0.07%,D138&gt;2800,D138*0.15%)</f>
        <v>1.2599930000000001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23" t="e" cm="1">
        <f t="array" ref="I139">_xlfn.IFS(AND(D139&gt;500,D139&lt;=1200),D139*0.01%,AND(D139&gt;1200,D139&lt;=1700),D139*0.03%,AND(D139&gt;1700,D139&lt;=2800),D139*0.07%,D139&gt;2800,D139*0.15%)</f>
        <v>#N/A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23" t="e" cm="1">
        <f t="array" ref="I140">_xlfn.IFS(AND(D140&gt;500,D140&lt;=1200),D140*0.01%,AND(D140&gt;1200,D140&lt;=1700),D140*0.03%,AND(D140&gt;1700,D140&lt;=2800),D140*0.07%,D140&gt;2800,D140*0.15%)</f>
        <v>#N/A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23" cm="1">
        <f t="array" ref="I141">_xlfn.IFS(AND(D141&gt;500,D141&lt;=1200),D141*0.01%,AND(D141&gt;1200,D141&lt;=1700),D141*0.03%,AND(D141&gt;1700,D141&lt;=2800),D141*0.07%,D141&gt;2800,D141*0.15%)</f>
        <v>5.6000000000000001E-2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23" cm="1">
        <f t="array" ref="I142">_xlfn.IFS(AND(D142&gt;500,D142&lt;=1200),D142*0.01%,AND(D142&gt;1200,D142&lt;=1700),D142*0.03%,AND(D142&gt;1700,D142&lt;=2800),D142*0.07%,D142&gt;2800,D142*0.15%)</f>
        <v>5.6500000000000002E-2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">
      <c r="A144" s="1"/>
      <c r="B144" s="13" t="s">
        <v>3</v>
      </c>
      <c r="C144" s="14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>
      <c r="A145" s="1"/>
      <c r="B145" s="15">
        <v>500</v>
      </c>
      <c r="C145" s="16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>
      <c r="A146" s="1"/>
      <c r="B146" s="15">
        <v>1200</v>
      </c>
      <c r="C146" s="16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>
      <c r="A147" s="1"/>
      <c r="B147" s="15">
        <v>1700</v>
      </c>
      <c r="C147" s="16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>
      <c r="A148" s="1"/>
      <c r="B148" s="15">
        <v>2800</v>
      </c>
      <c r="C148" s="16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">
      <c r="A150" s="1"/>
      <c r="B150" s="2" t="s">
        <v>41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4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>
      <c r="A152" s="18"/>
      <c r="B152" s="19">
        <v>44621</v>
      </c>
      <c r="C152" s="20" t="s">
        <v>8</v>
      </c>
      <c r="D152" s="21">
        <v>2479.94</v>
      </c>
      <c r="E152" s="22">
        <v>44621</v>
      </c>
      <c r="F152" s="20" t="s">
        <v>30</v>
      </c>
      <c r="G152" s="21" t="s">
        <v>31</v>
      </c>
      <c r="H152" s="20" t="s">
        <v>10</v>
      </c>
      <c r="I152" s="23" cm="1">
        <f t="array" ref="I152">_xlfn.IFS(AND(D152&gt;500,D152&lt;=1200),D152*0.01%,AND(D152&gt;1200,D152&lt;=1700),D152*0.03%,AND(D152&gt;1700,D152&lt;=2800),D152*0.07%,D152&gt;2800,D152*0.15%)</f>
        <v>1.7359580000000003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23" cm="1">
        <f t="array" ref="I153">_xlfn.IFS(AND(D153&gt;500,D153&lt;=1200),D153*0.01%,AND(D153&gt;1200,D153&lt;=1700),D153*0.03%,AND(D153&gt;1700,D153&lt;=2800),D153*0.07%,D153&gt;2800,D153*0.15%)</f>
        <v>1.2130930000000002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23" cm="1">
        <f t="array" ref="I154">_xlfn.IFS(AND(D154&gt;500,D154&lt;=1200),D154*0.01%,AND(D154&gt;1200,D154&lt;=1700),D154*0.03%,AND(D154&gt;1700,D154&lt;=2800),D154*0.07%,D154&gt;2800,D154*0.15%)</f>
        <v>0.11749900000000001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23" cm="1">
        <f t="array" ref="I155">_xlfn.IFS(AND(D155&gt;500,D155&lt;=1200),D155*0.01%,AND(D155&gt;1200,D155&lt;=1700),D155*0.03%,AND(D155&gt;1700,D155&lt;=2800),D155*0.07%,D155&gt;2800,D155*0.15%)</f>
        <v>1.2599930000000001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23" cm="1">
        <f t="array" ref="I156">_xlfn.IFS(AND(D156&gt;500,D156&lt;=1200),D156*0.01%,AND(D156&gt;1200,D156&lt;=1700),D156*0.03%,AND(D156&gt;1700,D156&lt;=2800),D156*0.07%,D156&gt;2800,D156*0.15%)</f>
        <v>4.7474850000000002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23" cm="1">
        <f t="array" ref="I157">_xlfn.IFS(AND(D157&gt;500,D157&lt;=1200),D157*0.01%,AND(D157&gt;1200,D157&lt;=1700),D157*0.03%,AND(D157&gt;1700,D157&lt;=2800),D157*0.07%,D157&gt;2800,D157*0.15%)</f>
        <v>0.11990000000000001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23" cm="1">
        <f t="array" ref="I158">_xlfn.IFS(AND(D158&gt;500,D158&lt;=1200),D158*0.01%,AND(D158&gt;1200,D158&lt;=1700),D158*0.03%,AND(D158&gt;1700,D158&lt;=2800),D158*0.07%,D158&gt;2800,D158*0.15%)</f>
        <v>6.9995000000000002E-2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23" cm="1">
        <f t="array" ref="I159">_xlfn.IFS(AND(D159&gt;500,D159&lt;=1200),D159*0.01%,AND(D159&gt;1200,D159&lt;=1700),D159*0.03%,AND(D159&gt;1700,D159&lt;=2800),D159*0.07%,D159&gt;2800,D159*0.15%)</f>
        <v>9.4899999999999998E-2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23" t="e" cm="1">
        <f t="array" ref="I160">_xlfn.IFS(AND(D160&gt;500,D160&lt;=1200),D160*0.01%,AND(D160&gt;1200,D160&lt;=1700),D160*0.03%,AND(D160&gt;1700,D160&lt;=2800),D160*0.07%,D160&gt;2800,D160*0.15%)</f>
        <v>#N/A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23" cm="1">
        <f t="array" ref="I161">_xlfn.IFS(AND(D161&gt;500,D161&lt;=1200),D161*0.01%,AND(D161&gt;1200,D161&lt;=1700),D161*0.03%,AND(D161&gt;1700,D161&lt;=2800),D161*0.07%,D161&gt;2800,D161*0.15%)</f>
        <v>0.45749999999999996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23" t="e" cm="1">
        <f t="array" ref="I162">_xlfn.IFS(AND(D162&gt;500,D162&lt;=1200),D162*0.01%,AND(D162&gt;1200,D162&lt;=1700),D162*0.03%,AND(D162&gt;1700,D162&lt;=2800),D162*0.07%,D162&gt;2800,D162*0.15%)</f>
        <v>#N/A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23" t="e" cm="1">
        <f t="array" ref="I163">_xlfn.IFS(AND(D163&gt;500,D163&lt;=1200),D163*0.01%,AND(D163&gt;1200,D163&lt;=1700),D163*0.03%,AND(D163&gt;1700,D163&lt;=2800),D163*0.07%,D163&gt;2800,D163*0.15%)</f>
        <v>#N/A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23" t="e" cm="1">
        <f t="array" ref="I164">_xlfn.IFS(AND(D164&gt;500,D164&lt;=1200),D164*0.01%,AND(D164&gt;1200,D164&lt;=1700),D164*0.03%,AND(D164&gt;1700,D164&lt;=2800),D164*0.07%,D164&gt;2800,D164*0.15%)</f>
        <v>#N/A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23" t="e" cm="1">
        <f t="array" ref="I165">_xlfn.IFS(AND(D165&gt;500,D165&lt;=1200),D165*0.01%,AND(D165&gt;1200,D165&lt;=1700),D165*0.03%,AND(D165&gt;1700,D165&lt;=2800),D165*0.07%,D165&gt;2800,D165*0.15%)</f>
        <v>#N/A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23" t="e" cm="1">
        <f t="array" ref="I166">_xlfn.IFS(AND(D166&gt;500,D166&lt;=1200),D166*0.01%,AND(D166&gt;1200,D166&lt;=1700),D166*0.03%,AND(D166&gt;1700,D166&lt;=2800),D166*0.07%,D166&gt;2800,D166*0.15%)</f>
        <v>#N/A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23" cm="1">
        <f t="array" ref="I167">_xlfn.IFS(AND(D167&gt;500,D167&lt;=1200),D167*0.01%,AND(D167&gt;1200,D167&lt;=1700),D167*0.03%,AND(D167&gt;1700,D167&lt;=2800),D167*0.07%,D167&gt;2800,D167*0.15%)</f>
        <v>1.2599930000000001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23" t="e" cm="1">
        <f t="array" ref="I168">_xlfn.IFS(AND(D168&gt;500,D168&lt;=1200),D168*0.01%,AND(D168&gt;1200,D168&lt;=1700),D168*0.03%,AND(D168&gt;1700,D168&lt;=2800),D168*0.07%,D168&gt;2800,D168*0.15%)</f>
        <v>#N/A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23" t="e" cm="1">
        <f t="array" ref="I169">_xlfn.IFS(AND(D169&gt;500,D169&lt;=1200),D169*0.01%,AND(D169&gt;1200,D169&lt;=1700),D169*0.03%,AND(D169&gt;1700,D169&lt;=2800),D169*0.07%,D169&gt;2800,D169*0.15%)</f>
        <v>#N/A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23" cm="1">
        <f t="array" ref="I170">_xlfn.IFS(AND(D170&gt;500,D170&lt;=1200),D170*0.01%,AND(D170&gt;1200,D170&lt;=1700),D170*0.03%,AND(D170&gt;1700,D170&lt;=2800),D170*0.07%,D170&gt;2800,D170*0.15%)</f>
        <v>5.6000000000000001E-2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23" cm="1">
        <f t="array" ref="I171">_xlfn.IFS(AND(D171&gt;500,D171&lt;=1200),D171*0.01%,AND(D171&gt;1200,D171&lt;=1700),D171*0.03%,AND(D171&gt;1700,D171&lt;=2800),D171*0.07%,D171&gt;2800,D171*0.15%)</f>
        <v>5.6500000000000002E-2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">
      <c r="A173" s="1"/>
      <c r="B173" s="13" t="s">
        <v>3</v>
      </c>
      <c r="C173" s="14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>
      <c r="A174" s="1"/>
      <c r="B174" s="15">
        <v>500</v>
      </c>
      <c r="C174" s="16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>
      <c r="A175" s="1"/>
      <c r="B175" s="15">
        <v>1200</v>
      </c>
      <c r="C175" s="16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>
      <c r="A176" s="1"/>
      <c r="B176" s="15">
        <v>1700</v>
      </c>
      <c r="C176" s="16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>
      <c r="A177" s="1"/>
      <c r="B177" s="15">
        <v>2800</v>
      </c>
      <c r="C177" s="16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">
      <c r="A179" s="1"/>
      <c r="B179" s="2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4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23" cm="1">
        <f t="array" ref="I181">_xlfn.IFNA(_xlfn.IFS(AND(D181&gt;500,D181&lt;=1200),D181*0.01%,AND(D181&gt;1200,D181&lt;=1700),D181*0.03%,AND(D181&gt;1700,D181&lt;=2800),D181*0.07%,D181&gt;2800,D181*0.15%),0)</f>
        <v>1.7359580000000003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23" cm="1">
        <f t="array" ref="I182">_xlfn.IFNA(_xlfn.IFS(AND(D182&gt;500,D182&lt;=1200),D182*0.01%,AND(D182&gt;1200,D182&lt;=1700),D182*0.03%,AND(D182&gt;1700,D182&lt;=2800),D182*0.07%,D182&gt;2800,D182*0.15%),0)</f>
        <v>1.2130930000000002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23" cm="1">
        <f t="array" ref="I183">_xlfn.IFNA(_xlfn.IFS(AND(D183&gt;500,D183&lt;=1200),D183*0.01%,AND(D183&gt;1200,D183&lt;=1700),D183*0.03%,AND(D183&gt;1700,D183&lt;=2800),D183*0.07%,D183&gt;2800,D183*0.15%),0)</f>
        <v>0.11749900000000001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23" cm="1">
        <f t="array" ref="I184">_xlfn.IFNA(_xlfn.IFS(AND(D184&gt;500,D184&lt;=1200),D184*0.01%,AND(D184&gt;1200,D184&lt;=1700),D184*0.03%,AND(D184&gt;1700,D184&lt;=2800),D184*0.07%,D184&gt;2800,D184*0.15%),0)</f>
        <v>1.2599930000000001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23" cm="1">
        <f t="array" ref="I185">_xlfn.IFNA(_xlfn.IFS(AND(D185&gt;500,D185&lt;=1200),D185*0.01%,AND(D185&gt;1200,D185&lt;=1700),D185*0.03%,AND(D185&gt;1700,D185&lt;=2800),D185*0.07%,D185&gt;2800,D185*0.15%),0)</f>
        <v>4.7474850000000002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23" cm="1">
        <f t="array" ref="I186">_xlfn.IFNA(_xlfn.IFS(AND(D186&gt;500,D186&lt;=1200),D186*0.01%,AND(D186&gt;1200,D186&lt;=1700),D186*0.03%,AND(D186&gt;1700,D186&lt;=2800),D186*0.07%,D186&gt;2800,D186*0.15%),0)</f>
        <v>0.11990000000000001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23" cm="1">
        <f t="array" ref="I187">_xlfn.IFNA(_xlfn.IFS(AND(D187&gt;500,D187&lt;=1200),D187*0.01%,AND(D187&gt;1200,D187&lt;=1700),D187*0.03%,AND(D187&gt;1700,D187&lt;=2800),D187*0.07%,D187&gt;2800,D187*0.15%),0)</f>
        <v>6.9995000000000002E-2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23" cm="1">
        <f t="array" ref="I188">_xlfn.IFNA(_xlfn.IFS(AND(D188&gt;500,D188&lt;=1200),D188*0.01%,AND(D188&gt;1200,D188&lt;=1700),D188*0.03%,AND(D188&gt;1700,D188&lt;=2800),D188*0.07%,D188&gt;2800,D188*0.15%),0)</f>
        <v>9.4899999999999998E-2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23" cm="1">
        <f t="array" ref="I189">_xlfn.IFNA(_xlfn.IFS(AND(D189&gt;500,D189&lt;=1200),D189*0.01%,AND(D189&gt;1200,D189&lt;=1700),D189*0.03%,AND(D189&gt;1700,D189&lt;=2800),D189*0.07%,D189&gt;2800,D189*0.15%),0)</f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23" cm="1">
        <f t="array" ref="I190">_xlfn.IFNA(_xlfn.IFS(AND(D190&gt;500,D190&lt;=1200),D190*0.01%,AND(D190&gt;1200,D190&lt;=1700),D190*0.03%,AND(D190&gt;1700,D190&lt;=2800),D190*0.07%,D190&gt;2800,D190*0.15%),0)</f>
        <v>0.45749999999999996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23" cm="1">
        <f t="array" ref="I191">_xlfn.IFNA(_xlfn.IFS(AND(D191&gt;500,D191&lt;=1200),D191*0.01%,AND(D191&gt;1200,D191&lt;=1700),D191*0.03%,AND(D191&gt;1700,D191&lt;=2800),D191*0.07%,D191&gt;2800,D191*0.15%),0)</f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23" cm="1">
        <f t="array" ref="I192">_xlfn.IFNA(_xlfn.IFS(AND(D192&gt;500,D192&lt;=1200),D192*0.01%,AND(D192&gt;1200,D192&lt;=1700),D192*0.03%,AND(D192&gt;1700,D192&lt;=2800),D192*0.07%,D192&gt;2800,D192*0.15%),0)</f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23" cm="1">
        <f t="array" ref="I193">_xlfn.IFNA(_xlfn.IFS(AND(D193&gt;500,D193&lt;=1200),D193*0.01%,AND(D193&gt;1200,D193&lt;=1700),D193*0.03%,AND(D193&gt;1700,D193&lt;=2800),D193*0.07%,D193&gt;2800,D193*0.15%),0)</f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23" cm="1">
        <f t="array" ref="I194">_xlfn.IFNA(_xlfn.IFS(AND(D194&gt;500,D194&lt;=1200),D194*0.01%,AND(D194&gt;1200,D194&lt;=1700),D194*0.03%,AND(D194&gt;1700,D194&lt;=2800),D194*0.07%,D194&gt;2800,D194*0.15%),0)</f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23" cm="1">
        <f t="array" ref="I195">_xlfn.IFNA(_xlfn.IFS(AND(D195&gt;500,D195&lt;=1200),D195*0.01%,AND(D195&gt;1200,D195&lt;=1700),D195*0.03%,AND(D195&gt;1700,D195&lt;=2800),D195*0.07%,D195&gt;2800,D195*0.15%),0)</f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23" cm="1">
        <f t="array" ref="I196">_xlfn.IFNA(_xlfn.IFS(AND(D196&gt;500,D196&lt;=1200),D196*0.01%,AND(D196&gt;1200,D196&lt;=1700),D196*0.03%,AND(D196&gt;1700,D196&lt;=2800),D196*0.07%,D196&gt;2800,D196*0.15%),0)</f>
        <v>1.2599930000000001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23" cm="1">
        <f t="array" ref="I197">_xlfn.IFNA(_xlfn.IFS(AND(D197&gt;500,D197&lt;=1200),D197*0.01%,AND(D197&gt;1200,D197&lt;=1700),D197*0.03%,AND(D197&gt;1700,D197&lt;=2800),D197*0.07%,D197&gt;2800,D197*0.15%),0)</f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23" cm="1">
        <f t="array" ref="I198">_xlfn.IFNA(_xlfn.IFS(AND(D198&gt;500,D198&lt;=1200),D198*0.01%,AND(D198&gt;1200,D198&lt;=1700),D198*0.03%,AND(D198&gt;1700,D198&lt;=2800),D198*0.07%,D198&gt;2800,D198*0.15%),0)</f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23" cm="1">
        <f t="array" ref="I199">_xlfn.IFNA(_xlfn.IFS(AND(D199&gt;500,D199&lt;=1200),D199*0.01%,AND(D199&gt;1200,D199&lt;=1700),D199*0.03%,AND(D199&gt;1700,D199&lt;=2800),D199*0.07%,D199&gt;2800,D199*0.15%),0)</f>
        <v>5.6000000000000001E-2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23" cm="1">
        <f t="array" ref="I200">_xlfn.IFNA(_xlfn.IFS(AND(D200&gt;500,D200&lt;=1200),D200*0.01%,AND(D200&gt;1200,D200&lt;=1700),D200*0.03%,AND(D200&gt;1700,D200&lt;=2800),D200*0.07%,D200&gt;2800,D200*0.15%),0)</f>
        <v>5.6500000000000002E-2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">
      <c r="A202" s="1"/>
      <c r="B202" s="13" t="s">
        <v>3</v>
      </c>
      <c r="C202" s="14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>
      <c r="A203" s="1"/>
      <c r="B203" s="15">
        <v>500</v>
      </c>
      <c r="C203" s="16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>
      <c r="A204" s="1"/>
      <c r="B204" s="15">
        <v>1200</v>
      </c>
      <c r="C204" s="16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>
      <c r="A205" s="1"/>
      <c r="B205" s="15">
        <v>1700</v>
      </c>
      <c r="C205" s="16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>
      <c r="A206" s="1"/>
      <c r="B206" s="15">
        <v>2800</v>
      </c>
      <c r="C206" s="16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">
      <c r="A208" s="1"/>
      <c r="B208" s="2" t="s">
        <v>62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4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44</v>
      </c>
      <c r="I210" s="12" t="str">
        <f>IF(AND(D210&gt;2000,OR($B210=$E210,$C210=$C$210)),"Yes","No")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45</v>
      </c>
      <c r="I211" s="12" t="str">
        <f t="shared" ref="I211:I229" si="5">IF(AND(D211&gt;2000,OR($B211=$E211,$C211=$C$210)),"Yes","No")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46</v>
      </c>
      <c r="I212" s="12" t="str">
        <f t="shared" si="5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47</v>
      </c>
      <c r="I213" s="12" t="str">
        <f t="shared" si="5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48</v>
      </c>
      <c r="I214" s="12" t="str">
        <f t="shared" si="5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49</v>
      </c>
      <c r="I215" s="12" t="str">
        <f t="shared" si="5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50</v>
      </c>
      <c r="I216" s="12" t="str">
        <f t="shared" si="5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51</v>
      </c>
      <c r="I217" s="12" t="str">
        <f t="shared" si="5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52</v>
      </c>
      <c r="I218" s="12" t="str">
        <f t="shared" si="5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53</v>
      </c>
      <c r="I219" s="12" t="str">
        <f t="shared" si="5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54</v>
      </c>
      <c r="I220" s="12" t="str">
        <f t="shared" si="5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55</v>
      </c>
      <c r="I221" s="12" t="str">
        <f t="shared" si="5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56</v>
      </c>
      <c r="I222" s="12" t="str">
        <f t="shared" si="5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57</v>
      </c>
      <c r="I223" s="12" t="str">
        <f t="shared" si="5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2" t="str">
        <f t="shared" si="5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2" t="str">
        <f t="shared" si="5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58</v>
      </c>
      <c r="I226" s="12" t="str">
        <f t="shared" si="5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59</v>
      </c>
      <c r="I227" s="12" t="str">
        <f t="shared" si="5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60</v>
      </c>
      <c r="I228" s="12" t="str">
        <f t="shared" si="5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61</v>
      </c>
      <c r="I229" s="12" t="str">
        <f t="shared" si="5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Snehal Genge</cp:lastModifiedBy>
  <dcterms:created xsi:type="dcterms:W3CDTF">2023-06-08T11:58:49Z</dcterms:created>
  <dcterms:modified xsi:type="dcterms:W3CDTF">2026-09-24T14:25:49Z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  <property fmtid="{D5CDD505-2E9C-101B-9397-08002B2CF9AE}" pid="4" name="MSIP_Label_4bcfcd56-5090-4360-9797-92c0eb015b98_Enabled">
    <vt:lpwstr>true</vt:lpwstr>
  </property>
  <property fmtid="{D5CDD505-2E9C-101B-9397-08002B2CF9AE}" pid="5" name="MSIP_Label_4bcfcd56-5090-4360-9797-92c0eb015b98_SetDate">
    <vt:lpwstr>2025-08-04T18:18:33Z</vt:lpwstr>
  </property>
  <property fmtid="{D5CDD505-2E9C-101B-9397-08002B2CF9AE}" pid="6" name="MSIP_Label_4bcfcd56-5090-4360-9797-92c0eb015b98_Method">
    <vt:lpwstr>Standard</vt:lpwstr>
  </property>
  <property fmtid="{D5CDD505-2E9C-101B-9397-08002B2CF9AE}" pid="7" name="MSIP_Label_4bcfcd56-5090-4360-9797-92c0eb015b98_Name">
    <vt:lpwstr>Public</vt:lpwstr>
  </property>
  <property fmtid="{D5CDD505-2E9C-101B-9397-08002B2CF9AE}" pid="8" name="MSIP_Label_4bcfcd56-5090-4360-9797-92c0eb015b98_SiteId">
    <vt:lpwstr>f4db3ffa-dfb1-4f2d-8ade-468d458e11c2</vt:lpwstr>
  </property>
  <property fmtid="{D5CDD505-2E9C-101B-9397-08002B2CF9AE}" pid="9" name="MSIP_Label_4bcfcd56-5090-4360-9797-92c0eb015b98_ActionId">
    <vt:lpwstr>edd9faa8-e225-41ec-8993-cf9015b1358d</vt:lpwstr>
  </property>
  <property fmtid="{D5CDD505-2E9C-101B-9397-08002B2CF9AE}" pid="10" name="MSIP_Label_4bcfcd56-5090-4360-9797-92c0eb015b98_ContentBits">
    <vt:lpwstr>0</vt:lpwstr>
  </property>
  <property fmtid="{D5CDD505-2E9C-101B-9397-08002B2CF9AE}" pid="11" name="MSIP_Label_4bcfcd56-5090-4360-9797-92c0eb015b98_Tag">
    <vt:lpwstr>10, 3, 0, 1</vt:lpwstr>
  </property>
</Properties>
</file>