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D20D75D7-38AB-42E3-8D3D-9036A81281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gital Wellbeing" sheetId="7" r:id="rId1"/>
  </sheets>
  <definedNames>
    <definedName name="ExternalData_2" localSheetId="0" hidden="1">'Digital Wellbeing'!$A$1:$N$32</definedName>
  </definedNames>
  <calcPr calcId="191029"/>
  <pivotCaches>
    <pivotCache cacheId="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7" l="1"/>
  <c r="E4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FAABD3-A16E-476C-954F-80C2271222D8}" keepAlive="1" name="Query - Form_Responses" description="Connection to the 'Form_Responses' query in the workbook." type="5" refreshedVersion="8" background="1" saveData="1">
    <dbPr connection="Provider=Microsoft.Mashup.OleDb.1;Data Source=$Workbook$;Location=Form_Responses;Extended Properties=&quot;&quot;" command="SELECT * FROM [Form_Responses]"/>
  </connection>
  <connection id="2" xr16:uid="{6B983FDA-2A41-4FB4-A427-D0EA1DDFD430}" keepAlive="1" name="Query - Form_Responses_1" description="Connection to the 'Form_Responses_1' query in the workbook." type="5" refreshedVersion="8" background="1" saveData="1">
    <dbPr connection="Provider=Microsoft.Mashup.OleDb.1;Data Source=$Workbook$;Location=Form_Responses_1;Extended Properties=&quot;&quot;" command="SELECT * FROM [Form_Responses_1]"/>
  </connection>
  <connection id="3" xr16:uid="{70053854-450E-4112-B973-10E695F32119}" keepAlive="1" name="Query - Form_Responses_1_1" description="Connection to the 'Form_Responses_1_1' query in the workbook." type="5" refreshedVersion="8" background="1" saveData="1">
    <dbPr connection="Provider=Microsoft.Mashup.OleDb.1;Data Source=$Workbook$;Location=Form_Responses_1_1;Extended Properties=&quot;&quot;" command="SELECT * FROM [Form_Responses_1_1]"/>
  </connection>
  <connection id="4" xr16:uid="{E50A8262-F48E-47EC-B463-5844450D20B1}" keepAlive="1" name="Query - Form_Responses_1_1 (2)" description="Connection to the 'Form_Responses_1_1 (2)' query in the workbook." type="5" refreshedVersion="0" background="1">
    <dbPr connection="Provider=Microsoft.Mashup.OleDb.1;Data Source=$Workbook$;Location=&quot;Form_Responses_1_1 (2)&quot;;Extended Properties=&quot;&quot;" command="SELECT * FROM [Form_Responses_1_1 (2)]"/>
  </connection>
  <connection id="5" xr16:uid="{3BF95121-0E24-49F3-864D-4E9C5D4358A2}" keepAlive="1" name="Query - Form_Responses3" description="Connection to the 'Form_Responses3' query in the workbook." type="5" refreshedVersion="0" background="1">
    <dbPr connection="Provider=Microsoft.Mashup.OleDb.1;Data Source=$Workbook$;Location=Form_Responses3;Extended Properties=&quot;&quot;" command="SELECT * FROM [Form_Responses3]"/>
  </connection>
  <connection id="6" xr16:uid="{E0507EAA-EB38-4889-AA78-712C5C34B24B}" keepAlive="1" name="Query - Form_Responses3_1" description="Connection to the 'Form_Responses3_1' query in the workbook." type="5" refreshedVersion="8" background="1" saveData="1">
    <dbPr connection="Provider=Microsoft.Mashup.OleDb.1;Data Source=$Workbook$;Location=Form_Responses3_1;Extended Properties=&quot;&quot;" command="SELECT * FROM [Form_Responses3_1]"/>
  </connection>
  <connection id="7" xr16:uid="{B4397BBE-5CD1-48F7-931D-6A62DA3BEFBE}" keepAlive="1" name="Query - Table" description="Connection to the 'Table' query in the workbook." type="5" refreshedVersion="0" background="1">
    <dbPr connection="Provider=Microsoft.Mashup.OleDb.1;Data Source=$Workbook$;Location=Table;Extended Properties=&quot;&quot;" command="SELECT * FROM [Table]"/>
  </connection>
  <connection id="8" xr16:uid="{12A411BD-3D55-4988-859B-DD1F87315907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</connections>
</file>

<file path=xl/sharedStrings.xml><?xml version="1.0" encoding="utf-8"?>
<sst xmlns="http://schemas.openxmlformats.org/spreadsheetml/2006/main" count="365" uniqueCount="133">
  <si>
    <t>Name</t>
  </si>
  <si>
    <t>Age</t>
  </si>
  <si>
    <t>Role in family</t>
  </si>
  <si>
    <t>Occupation</t>
  </si>
  <si>
    <t>Most used device</t>
  </si>
  <si>
    <t xml:space="preserve">Has it affected your sleep? </t>
  </si>
  <si>
    <t>19–30</t>
  </si>
  <si>
    <t>Sibling</t>
  </si>
  <si>
    <t>Studying</t>
  </si>
  <si>
    <t>Laptop</t>
  </si>
  <si>
    <t>No</t>
  </si>
  <si>
    <t>Yes</t>
  </si>
  <si>
    <t xml:space="preserve">Me  time </t>
  </si>
  <si>
    <t>Supriya Genge</t>
  </si>
  <si>
    <t>teacher</t>
  </si>
  <si>
    <t>nature explore</t>
  </si>
  <si>
    <t>Vijaymala Genge</t>
  </si>
  <si>
    <t>medical student</t>
  </si>
  <si>
    <t>Mobile</t>
  </si>
  <si>
    <t>Not sure</t>
  </si>
  <si>
    <t>Maybe</t>
  </si>
  <si>
    <t>communication with family</t>
  </si>
  <si>
    <t>Vishvajit Gnege</t>
  </si>
  <si>
    <t>Indian Army</t>
  </si>
  <si>
    <t>movement</t>
  </si>
  <si>
    <t>Vijay Genge</t>
  </si>
  <si>
    <t xml:space="preserve">entrepreneur </t>
  </si>
  <si>
    <t>rest</t>
  </si>
  <si>
    <t>Chandrashekhar Genge</t>
  </si>
  <si>
    <t>31–55</t>
  </si>
  <si>
    <t>Parent</t>
  </si>
  <si>
    <t>farmer , enterprenure</t>
  </si>
  <si>
    <t>Sleep</t>
  </si>
  <si>
    <t>Anjana Genge</t>
  </si>
  <si>
    <t>housewife</t>
  </si>
  <si>
    <t>some house work</t>
  </si>
  <si>
    <t>Sushila Genge</t>
  </si>
  <si>
    <t>55+</t>
  </si>
  <si>
    <t>Grandparent</t>
  </si>
  <si>
    <t>homemaker</t>
  </si>
  <si>
    <t>Other</t>
  </si>
  <si>
    <t>walk</t>
  </si>
  <si>
    <t>Shravani Patil</t>
  </si>
  <si>
    <t>11–18</t>
  </si>
  <si>
    <t>student</t>
  </si>
  <si>
    <t>sports</t>
  </si>
  <si>
    <t xml:space="preserve">Atharv Patil </t>
  </si>
  <si>
    <t>student  , prepairing for Indian Army</t>
  </si>
  <si>
    <t>workout</t>
  </si>
  <si>
    <t>Sakshi Patil</t>
  </si>
  <si>
    <t>student, prepaing for civil service</t>
  </si>
  <si>
    <t>going out</t>
  </si>
  <si>
    <t>Aaryan More</t>
  </si>
  <si>
    <t>Revision</t>
  </si>
  <si>
    <t>Aaradhya Prakash More</t>
  </si>
  <si>
    <t>Student</t>
  </si>
  <si>
    <t>study</t>
  </si>
  <si>
    <t xml:space="preserve">Manisha Jagdale </t>
  </si>
  <si>
    <t>co-operate worker</t>
  </si>
  <si>
    <t>reading</t>
  </si>
  <si>
    <t>Sourabh Bhandwale</t>
  </si>
  <si>
    <t>worker</t>
  </si>
  <si>
    <t>traveling</t>
  </si>
  <si>
    <t xml:space="preserve">Samarveer Maheshvari </t>
  </si>
  <si>
    <t>civil servent</t>
  </si>
  <si>
    <t xml:space="preserve">paper work </t>
  </si>
  <si>
    <t xml:space="preserve">Sumitra Ghorapde </t>
  </si>
  <si>
    <t>home- maker</t>
  </si>
  <si>
    <t xml:space="preserve"> chores</t>
  </si>
  <si>
    <t>Sampad Kamate</t>
  </si>
  <si>
    <t xml:space="preserve">Aasha Worker </t>
  </si>
  <si>
    <t>Family responsibilty</t>
  </si>
  <si>
    <t>Rajwardhan Sangmner</t>
  </si>
  <si>
    <t>job</t>
  </si>
  <si>
    <t>JIM</t>
  </si>
  <si>
    <t>Sonali  Mahajan</t>
  </si>
  <si>
    <t>Gynecologist</t>
  </si>
  <si>
    <t>None</t>
  </si>
  <si>
    <t>Shobhita M</t>
  </si>
  <si>
    <t>Working</t>
  </si>
  <si>
    <t>sleep</t>
  </si>
  <si>
    <t xml:space="preserve">Sagar More </t>
  </si>
  <si>
    <t>Driver</t>
  </si>
  <si>
    <t>Tablet</t>
  </si>
  <si>
    <t>Rest</t>
  </si>
  <si>
    <t>Family Time</t>
  </si>
  <si>
    <t>Sushama Sane</t>
  </si>
  <si>
    <t>hobby</t>
  </si>
  <si>
    <t>Bobb Patel</t>
  </si>
  <si>
    <t>Chef</t>
  </si>
  <si>
    <t>Vaisha Javed Ali</t>
  </si>
  <si>
    <t>Businesswomen</t>
  </si>
  <si>
    <t xml:space="preserve">Sahil Patel </t>
  </si>
  <si>
    <t>Doctor</t>
  </si>
  <si>
    <t>Maybe Reading</t>
  </si>
  <si>
    <t>Snehal Patel</t>
  </si>
  <si>
    <t xml:space="preserve">Swayam Jamdar </t>
  </si>
  <si>
    <t>outing</t>
  </si>
  <si>
    <t>Swarnika Jamdar</t>
  </si>
  <si>
    <t>Communication with Family</t>
  </si>
  <si>
    <t>Shreedhar Jamdar</t>
  </si>
  <si>
    <t>businessman</t>
  </si>
  <si>
    <t>Family talk</t>
  </si>
  <si>
    <t>0</t>
  </si>
  <si>
    <t>15</t>
  </si>
  <si>
    <t>10</t>
  </si>
  <si>
    <t>30</t>
  </si>
  <si>
    <t>20</t>
  </si>
  <si>
    <t>40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</si>
  <si>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Find average screen time by age group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</si>
  <si>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Compare screen time for work vs entertainment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</si>
  <si>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Count how many use screens after 9 PM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</si>
  <si>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Count how many people feel screen time affects sleep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</si>
  <si>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Bar Chart: Screen time by age group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</si>
  <si>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Pie Chart: Devices used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</si>
  <si>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Bar Chart: Work vs Entertainment screen time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</si>
  <si>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Aptos"/>
        <family val="2"/>
      </rPr>
      <t>Scatter Plot: Screen time vs sleep impact</t>
    </r>
  </si>
  <si>
    <t xml:space="preserve">Screen time is too much? </t>
  </si>
  <si>
    <t>Missed events</t>
  </si>
  <si>
    <t>Reeduction of screen time need?</t>
  </si>
  <si>
    <t xml:space="preserve">Screentime after 9 PM? </t>
  </si>
  <si>
    <t>Row Labels</t>
  </si>
  <si>
    <t>Sum of Entertainmet screentime</t>
  </si>
  <si>
    <t>Sum of Study/work screentime</t>
  </si>
  <si>
    <t xml:space="preserve">Average of Screentime </t>
  </si>
  <si>
    <t xml:space="preserve">              Create Charts</t>
  </si>
  <si>
    <t>Analysis</t>
  </si>
  <si>
    <t>Study/work screentime(Min)</t>
  </si>
  <si>
    <t>Entertainmet screentime(Min)</t>
  </si>
  <si>
    <t>Social media screentime(Min)</t>
  </si>
  <si>
    <t>Screentime per day(Hr)</t>
  </si>
  <si>
    <t>Pooja  Mone</t>
  </si>
  <si>
    <t>Snehal Genge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</si>
</sst>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indent="4"/>
    </xf>
    <xf numFmtId="0" fontId="4" fillId="0" borderId="0" xfId="0" applyFont="1" applyAlignment="1">
      <alignment vertical="center"/>
    </xf>
    <xf numFmtId="0" fontId="0" fillId="0" borderId="2" xfId="0" applyBorder="1"/>
    <xf numFmtId="0" fontId="0" fillId="0" borderId="2" xfId="0" pivotButton="1" applyBorder="1"/>
    <xf numFmtId="0" fontId="0" fillId="0" borderId="5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10" xfId="0" applyBorder="1"/>
    <xf numFmtId="0" fontId="7" fillId="0" borderId="0" xfId="0" applyFont="1" applyAlignment="1">
      <alignment horizontal="center"/>
    </xf>
    <xf numFmtId="0" fontId="0" fillId="0" borderId="11" xfId="0" applyBorder="1"/>
    <xf numFmtId="0" fontId="0" fillId="0" borderId="12" xfId="0" applyBorder="1"/>
    <xf numFmtId="0" fontId="5" fillId="0" borderId="12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0" fillId="0" borderId="14" xfId="0" applyBorder="1"/>
    <xf numFmtId="0" fontId="0" fillId="0" borderId="15" xfId="0" applyBorder="1"/>
    <xf numFmtId="0" fontId="5" fillId="0" borderId="1" xfId="0" applyFont="1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0" fontId="5" fillId="0" borderId="14" xfId="0" applyFont="1" applyBorder="1"/>
    <xf numFmtId="0" fontId="0" fillId="2" borderId="0" xfId="0" applyFill="1"/>
  </cellXfs>
  <cellStyles count="1">
    <cellStyle name="Normal" xfId="0" builtinId="0"/>
  </cellStyles>
  <dxfs count="2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21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Screen time by age group</a:t>
            </a:r>
          </a:p>
        </c:rich>
      </c:tx>
      <c:layout>
        <c:manualLayout>
          <c:xMode val="edge"/>
          <c:yMode val="edge"/>
          <c:x val="0.21188496188496189"/>
          <c:y val="3.6803364879074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>
            <a:solidFill>
              <a:srgbClr val="FFC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19613173353331"/>
          <c:y val="0.21634688860095019"/>
          <c:w val="0.73393711700798314"/>
          <c:h val="0.56199663289100832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11–18</c:v>
              </c:pt>
              <c:pt idx="1">
                <c:v>19–30</c:v>
              </c:pt>
              <c:pt idx="2">
                <c:v>31–55</c:v>
              </c:pt>
              <c:pt idx="3">
                <c:v>55+</c:v>
              </c:pt>
            </c:strLit>
          </c:cat>
          <c:val>
            <c:numLit>
              <c:formatCode>General</c:formatCode>
              <c:ptCount val="4"/>
              <c:pt idx="0">
                <c:v>600</c:v>
              </c:pt>
              <c:pt idx="1">
                <c:v>3960</c:v>
              </c:pt>
              <c:pt idx="2">
                <c:v>2100</c:v>
              </c:pt>
              <c:pt idx="3">
                <c:v>240</c:v>
              </c:pt>
            </c:numLit>
          </c:val>
          <c:extLst>
            <c:ext xmlns:c16="http://schemas.microsoft.com/office/drawing/2014/chart" uri="{C3380CC4-5D6E-409C-BE32-E72D297353CC}">
              <c16:uniqueId val="{00000000-D8A5-4902-92FC-FA896E5D86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8438032"/>
        <c:axId val="378440144"/>
      </c:barChart>
      <c:catAx>
        <c:axId val="3784380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40144"/>
        <c:crosses val="autoZero"/>
        <c:auto val="1"/>
        <c:lblAlgn val="ctr"/>
        <c:lblOffset val="100"/>
        <c:noMultiLvlLbl val="0"/>
      </c:catAx>
      <c:valAx>
        <c:axId val="378440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Sum of Screentime per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3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Devices used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78-4E02-832C-E6865DB58CE9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78-4E02-832C-E6865DB58CE9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78-4E02-832C-E6865DB58CE9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78-4E02-832C-E6865DB58CE9}"/>
              </c:ext>
            </c:extLst>
          </c:dPt>
          <c:cat>
            <c:strLit>
              <c:ptCount val="4"/>
              <c:pt idx="0">
                <c:v>Laptop</c:v>
              </c:pt>
              <c:pt idx="1">
                <c:v>Mobile</c:v>
              </c:pt>
              <c:pt idx="2">
                <c:v>Other</c:v>
              </c:pt>
              <c:pt idx="3">
                <c:v>Tablet</c:v>
              </c:pt>
            </c:strLit>
          </c:cat>
          <c:val>
            <c:numLit>
              <c:formatCode>General</c:formatCode>
              <c:ptCount val="4"/>
              <c:pt idx="0">
                <c:v>13</c:v>
              </c:pt>
              <c:pt idx="1">
                <c:v>15</c:v>
              </c:pt>
              <c:pt idx="2">
                <c:v>2</c:v>
              </c:pt>
              <c:pt idx="3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19BB-4B41-8C1E-FECC3B8D8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2"/>
                </a:solidFill>
              </a:rPr>
              <a:t> Work vs Entertainment screen time</a:t>
            </a:r>
          </a:p>
        </c:rich>
      </c:tx>
      <c:layout>
        <c:manualLayout>
          <c:xMode val="edge"/>
          <c:yMode val="edge"/>
          <c:x val="0.1385417760279965"/>
          <c:y val="6.0185185185185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50800" dist="50800" dir="5400000" algn="ctr" rotWithShape="0">
              <a:schemeClr val="tx1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29917678200672676"/>
          <c:w val="0.65256802274715664"/>
          <c:h val="0.62211943656296698"/>
        </c:manualLayout>
      </c:layout>
      <c:barChart>
        <c:barDir val="bar"/>
        <c:grouping val="clustered"/>
        <c:varyColors val="0"/>
        <c:ser>
          <c:idx val="0"/>
          <c:order val="0"/>
          <c:tx>
            <c:v>Sum of Study/work screentime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FD-4B34-BAB0-1F0FEE9D5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4476</c:v>
              </c:pt>
            </c:numLit>
          </c:val>
          <c:extLst>
            <c:ext xmlns:c16="http://schemas.microsoft.com/office/drawing/2014/chart" uri="{C3380CC4-5D6E-409C-BE32-E72D297353CC}">
              <c16:uniqueId val="{00000000-E7FD-4B34-BAB0-1F0FEE9D58BB}"/>
            </c:ext>
          </c:extLst>
        </c:ser>
        <c:ser>
          <c:idx val="1"/>
          <c:order val="1"/>
          <c:tx>
            <c:v>Sum of Entertainmet screentime</c:v>
          </c:tx>
          <c:spPr>
            <a:solidFill>
              <a:schemeClr val="accent3"/>
            </a:solidFill>
            <a:ln>
              <a:noFill/>
            </a:ln>
            <a:effectLst>
              <a:outerShdw blurRad="50800" dist="50800" dir="5400000" algn="ctr" rotWithShape="0">
                <a:schemeClr val="tx1"/>
              </a:outerShdw>
            </a:effectLst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FD-4B34-BAB0-1F0FEE9D5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2613</c:v>
              </c:pt>
            </c:numLit>
          </c:val>
          <c:extLst>
            <c:ext xmlns:c16="http://schemas.microsoft.com/office/drawing/2014/chart" uri="{C3380CC4-5D6E-409C-BE32-E72D297353CC}">
              <c16:uniqueId val="{00000001-E7FD-4B34-BAB0-1F0FEE9D58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0933144"/>
        <c:axId val="550929976"/>
      </c:barChart>
      <c:catAx>
        <c:axId val="5509331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0929976"/>
        <c:crosses val="autoZero"/>
        <c:auto val="1"/>
        <c:lblAlgn val="ctr"/>
        <c:lblOffset val="100"/>
        <c:noMultiLvlLbl val="0"/>
      </c:catAx>
      <c:valAx>
        <c:axId val="5509299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0933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Screen time vs sleep impact</a:t>
            </a:r>
          </a:p>
        </c:rich>
      </c:tx>
      <c:layout>
        <c:manualLayout>
          <c:xMode val="edge"/>
          <c:yMode val="edge"/>
          <c:x val="0.1585447937171916"/>
          <c:y val="3.4063260340632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23150426509186E-2"/>
          <c:y val="0.17566909975669101"/>
          <c:w val="0.6473450828412074"/>
          <c:h val="0.717372262773722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'Digital Wellbeing'!$E$1</c:f>
              <c:strCache>
                <c:ptCount val="1"/>
                <c:pt idx="0">
                  <c:v>Screentime per day(Hr)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'Digital Wellbeing'!$E$2:$E$32</c:f>
              <c:numCache>
                <c:formatCode>General</c:formatCode>
                <c:ptCount val="31"/>
                <c:pt idx="0">
                  <c:v>240</c:v>
                </c:pt>
                <c:pt idx="1">
                  <c:v>360</c:v>
                </c:pt>
                <c:pt idx="2">
                  <c:v>240</c:v>
                </c:pt>
                <c:pt idx="3">
                  <c:v>60</c:v>
                </c:pt>
                <c:pt idx="4">
                  <c:v>180</c:v>
                </c:pt>
                <c:pt idx="5">
                  <c:v>120</c:v>
                </c:pt>
                <c:pt idx="6">
                  <c:v>120</c:v>
                </c:pt>
                <c:pt idx="7">
                  <c:v>240</c:v>
                </c:pt>
                <c:pt idx="8">
                  <c:v>120</c:v>
                </c:pt>
                <c:pt idx="9">
                  <c:v>120</c:v>
                </c:pt>
                <c:pt idx="10">
                  <c:v>180</c:v>
                </c:pt>
                <c:pt idx="11">
                  <c:v>60</c:v>
                </c:pt>
                <c:pt idx="12">
                  <c:v>180</c:v>
                </c:pt>
                <c:pt idx="13">
                  <c:v>480</c:v>
                </c:pt>
                <c:pt idx="14">
                  <c:v>540</c:v>
                </c:pt>
                <c:pt idx="15">
                  <c:v>0</c:v>
                </c:pt>
                <c:pt idx="16">
                  <c:v>120</c:v>
                </c:pt>
                <c:pt idx="17">
                  <c:v>240</c:v>
                </c:pt>
                <c:pt idx="18">
                  <c:v>480</c:v>
                </c:pt>
                <c:pt idx="19">
                  <c:v>0</c:v>
                </c:pt>
                <c:pt idx="20">
                  <c:v>540</c:v>
                </c:pt>
                <c:pt idx="21">
                  <c:v>300</c:v>
                </c:pt>
                <c:pt idx="22">
                  <c:v>420</c:v>
                </c:pt>
                <c:pt idx="23">
                  <c:v>240</c:v>
                </c:pt>
                <c:pt idx="24">
                  <c:v>240</c:v>
                </c:pt>
                <c:pt idx="25">
                  <c:v>240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180</c:v>
                </c:pt>
                <c:pt idx="30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91-413D-BE05-387303FB8E09}"/>
            </c:ext>
          </c:extLst>
        </c:ser>
        <c:ser>
          <c:idx val="1"/>
          <c:order val="1"/>
          <c:tx>
            <c:strRef>
              <c:f>'Digital Wellbeing'!$L$2</c:f>
              <c:strCache>
                <c:ptCount val="1"/>
                <c:pt idx="0">
                  <c:v>No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40000"/>
                  <a:lumOff val="6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'Digital Wellbeing'!$L$3:$L$32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91-413D-BE05-387303FB8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939832"/>
        <c:axId val="550937016"/>
      </c:scatterChart>
      <c:valAx>
        <c:axId val="550939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937016"/>
        <c:crosses val="autoZero"/>
        <c:crossBetween val="midCat"/>
      </c:valAx>
      <c:valAx>
        <c:axId val="550937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939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142085999015743"/>
          <c:y val="0.28881008487077803"/>
          <c:w val="0.18904789000984251"/>
          <c:h val="0.41800026821464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46</xdr:row>
      <xdr:rowOff>175260</xdr:rowOff>
    </xdr:from>
    <xdr:to>
      <xdr:col>7</xdr:col>
      <xdr:colOff>0</xdr:colOff>
      <xdr:row>56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6720E-96FA-C4BC-F5F1-5E714C6E5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58</xdr:row>
      <xdr:rowOff>0</xdr:rowOff>
    </xdr:from>
    <xdr:to>
      <xdr:col>7</xdr:col>
      <xdr:colOff>22860</xdr:colOff>
      <xdr:row>66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589419-AD23-47A0-E735-B28C7076B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845820</xdr:colOff>
      <xdr:row>67</xdr:row>
      <xdr:rowOff>156210</xdr:rowOff>
    </xdr:from>
    <xdr:to>
      <xdr:col>6</xdr:col>
      <xdr:colOff>1607820</xdr:colOff>
      <xdr:row>77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951E05-BF65-3144-FC40-DE6352610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7620</xdr:colOff>
      <xdr:row>77</xdr:row>
      <xdr:rowOff>152400</xdr:rowOff>
    </xdr:from>
    <xdr:to>
      <xdr:col>6</xdr:col>
      <xdr:colOff>1607820</xdr:colOff>
      <xdr:row>89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9A3717-E17E-904A-F3F8-2C1677959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4.582477777774" createdVersion="8" refreshedVersion="8" minRefreshableVersion="3" recordCount="31" xr:uid="{3C813313-DBF0-4FEA-B122-0C26FF68BA00}">
  <cacheSource type="worksheet">
    <worksheetSource name="Form_Responses3_1_1"/>
  </cacheSource>
  <cacheFields count="14">
    <cacheField name="Name" numFmtId="0">
      <sharedItems/>
    </cacheField>
    <cacheField name="Age" numFmtId="0">
      <sharedItems count="4">
        <s v="19–30"/>
        <s v="31–55"/>
        <s v="55+"/>
        <s v="11–18"/>
      </sharedItems>
    </cacheField>
    <cacheField name="Role in family" numFmtId="0">
      <sharedItems containsBlank="1"/>
    </cacheField>
    <cacheField name="Occupation" numFmtId="0">
      <sharedItems/>
    </cacheField>
    <cacheField name="Screentime per day" numFmtId="0">
      <sharedItems containsSemiMixedTypes="0" containsString="0" containsNumber="1" containsInteger="1" minValue="0" maxValue="540" count="10">
        <n v="240"/>
        <n v="360"/>
        <n v="60"/>
        <n v="180"/>
        <n v="120"/>
        <n v="480"/>
        <n v="540"/>
        <n v="0"/>
        <n v="300"/>
        <n v="420"/>
      </sharedItems>
    </cacheField>
    <cacheField name="Study/work screentime" numFmtId="0">
      <sharedItems containsSemiMixedTypes="0" containsString="0" containsNumber="1" containsInteger="1" minValue="0" maxValue="480" count="16">
        <n v="240"/>
        <n v="120"/>
        <n v="30"/>
        <n v="60"/>
        <n v="18"/>
        <n v="36"/>
        <n v="0"/>
        <n v="78"/>
        <n v="207"/>
        <n v="420"/>
        <n v="480"/>
        <n v="51"/>
        <n v="360"/>
        <n v="150"/>
        <n v="180"/>
        <n v="210"/>
      </sharedItems>
    </cacheField>
    <cacheField name="Entertainmet screentime" numFmtId="0">
      <sharedItems containsSemiMixedTypes="0" containsString="0" containsNumber="1" containsInteger="1" minValue="0" maxValue="900" count="12">
        <n v="900"/>
        <n v="30"/>
        <n v="150"/>
        <n v="36"/>
        <n v="60"/>
        <n v="120"/>
        <n v="78"/>
        <n v="240"/>
        <n v="0"/>
        <n v="27"/>
        <n v="45"/>
        <n v="90"/>
      </sharedItems>
    </cacheField>
    <cacheField name="Social media screentime" numFmtId="0">
      <sharedItems containsMixedTypes="1" containsNumber="1" containsInteger="1" minValue="60" maxValue="120"/>
    </cacheField>
    <cacheField name="Most used device" numFmtId="0">
      <sharedItems count="4">
        <s v="Laptop"/>
        <s v="Mobile"/>
        <s v="Other"/>
        <s v="Tablet"/>
      </sharedItems>
    </cacheField>
    <cacheField name="Screentime after 9 PM? " numFmtId="0">
      <sharedItems containsBlank="1"/>
    </cacheField>
    <cacheField name="Screen time is too much? " numFmtId="0">
      <sharedItems containsBlank="1"/>
    </cacheField>
    <cacheField name="Has it affected your sleep? " numFmtId="0">
      <sharedItems containsBlank="1" count="4">
        <s v="No"/>
        <s v="Yes"/>
        <s v="Not sure"/>
        <m/>
      </sharedItems>
    </cacheField>
    <cacheField name="Reeduction of screen time need?" numFmtId="0">
      <sharedItems/>
    </cacheField>
    <cacheField name="Missed even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Snehal Chandrashekhar Genge"/>
    <x v="0"/>
    <s v="Sibling"/>
    <s v="Studying"/>
    <x v="0"/>
    <x v="0"/>
    <x v="0"/>
    <s v="10"/>
    <x v="0"/>
    <s v="No"/>
    <s v="Yes"/>
    <x v="0"/>
    <s v="Yes"/>
    <s v="Me  time "/>
  </r>
  <r>
    <s v="Supriya Genge"/>
    <x v="0"/>
    <s v="Sibling"/>
    <s v="teacher"/>
    <x v="1"/>
    <x v="1"/>
    <x v="1"/>
    <s v="15"/>
    <x v="0"/>
    <s v="No"/>
    <s v="Yes"/>
    <x v="1"/>
    <s v="Yes"/>
    <s v="nature explore"/>
  </r>
  <r>
    <s v="Vijaymala Genge"/>
    <x v="0"/>
    <s v="Sibling"/>
    <s v="medical student"/>
    <x v="0"/>
    <x v="2"/>
    <x v="2"/>
    <n v="60"/>
    <x v="1"/>
    <s v="Yes"/>
    <s v="Yes"/>
    <x v="2"/>
    <s v="Maybe"/>
    <s v="communication with family"/>
  </r>
  <r>
    <s v="Vishvajit Gnege"/>
    <x v="0"/>
    <s v="Sibling"/>
    <s v="Indian Army"/>
    <x v="2"/>
    <x v="3"/>
    <x v="3"/>
    <s v="15"/>
    <x v="1"/>
    <s v="No"/>
    <s v="No"/>
    <x v="3"/>
    <s v="Maybe"/>
    <s v="movement"/>
  </r>
  <r>
    <s v="Vijay Genge"/>
    <x v="0"/>
    <s v="Sibling"/>
    <s v="entrepreneur "/>
    <x v="3"/>
    <x v="1"/>
    <x v="4"/>
    <n v="60"/>
    <x v="1"/>
    <s v="Yes"/>
    <s v="Yes"/>
    <x v="1"/>
    <s v="Yes"/>
    <s v="rest"/>
  </r>
  <r>
    <s v="Chandrashekhar Genge"/>
    <x v="1"/>
    <s v="Parent"/>
    <s v="farmer , enterprenure"/>
    <x v="4"/>
    <x v="4"/>
    <x v="5"/>
    <s v="20"/>
    <x v="1"/>
    <s v="Yes"/>
    <s v="No"/>
    <x v="1"/>
    <s v="Maybe"/>
    <s v="Sleep"/>
  </r>
  <r>
    <s v="Anjana Genge"/>
    <x v="1"/>
    <s v="Parent"/>
    <s v="housewife"/>
    <x v="4"/>
    <x v="5"/>
    <x v="6"/>
    <s v="10"/>
    <x v="1"/>
    <s v="No"/>
    <s v="No"/>
    <x v="0"/>
    <s v="No"/>
    <s v="some house work"/>
  </r>
  <r>
    <s v="Sushila Genge"/>
    <x v="2"/>
    <s v="Grandparent"/>
    <s v="homemaker"/>
    <x v="0"/>
    <x v="6"/>
    <x v="7"/>
    <s v="0"/>
    <x v="2"/>
    <s v="No"/>
    <s v="Yes"/>
    <x v="0"/>
    <s v="Maybe"/>
    <s v="walk"/>
  </r>
  <r>
    <s v="Shravani Patil"/>
    <x v="3"/>
    <s v="Other"/>
    <s v="student"/>
    <x v="4"/>
    <x v="1"/>
    <x v="8"/>
    <s v="15"/>
    <x v="1"/>
    <s v="No"/>
    <s v="No"/>
    <x v="0"/>
    <s v="No"/>
    <s v="sports"/>
  </r>
  <r>
    <s v="Atharv Patil "/>
    <x v="3"/>
    <s v="Other"/>
    <s v="student  , prepairing for Indian Army"/>
    <x v="4"/>
    <x v="7"/>
    <x v="3"/>
    <s v="20"/>
    <x v="1"/>
    <s v="Yes"/>
    <s v="No"/>
    <x v="1"/>
    <s v="Maybe"/>
    <s v="workout"/>
  </r>
  <r>
    <s v="Sakshi Patil"/>
    <x v="0"/>
    <s v="Other"/>
    <s v="student, prepaing for civil service"/>
    <x v="3"/>
    <x v="8"/>
    <x v="8"/>
    <s v="15"/>
    <x v="0"/>
    <s v="Yes"/>
    <s v="Yes"/>
    <x v="1"/>
    <s v="Yes"/>
    <s v="going out"/>
  </r>
  <r>
    <s v="Aaryan More"/>
    <x v="3"/>
    <s v="Other"/>
    <s v="student"/>
    <x v="2"/>
    <x v="2"/>
    <x v="9"/>
    <s v="10"/>
    <x v="1"/>
    <s v="No"/>
    <s v="No"/>
    <x v="2"/>
    <s v="Maybe"/>
    <s v="Revision"/>
  </r>
  <r>
    <s v="Aaradhya Prakash More"/>
    <x v="3"/>
    <s v="Other"/>
    <s v="student"/>
    <x v="3"/>
    <x v="5"/>
    <x v="9"/>
    <s v="0"/>
    <x v="2"/>
    <s v="No"/>
    <s v="No"/>
    <x v="2"/>
    <s v="Maybe"/>
    <s v="study"/>
  </r>
  <r>
    <s v="Manisha Jagdale "/>
    <x v="1"/>
    <s v="Other"/>
    <s v="co-operate worker"/>
    <x v="5"/>
    <x v="9"/>
    <x v="4"/>
    <n v="60"/>
    <x v="0"/>
    <s v="Yes"/>
    <s v="Yes"/>
    <x v="1"/>
    <s v="Maybe"/>
    <s v="reading"/>
  </r>
  <r>
    <s v="Sourabh Bhandwale"/>
    <x v="0"/>
    <s v="Other"/>
    <s v="worker"/>
    <x v="6"/>
    <x v="10"/>
    <x v="4"/>
    <n v="60"/>
    <x v="0"/>
    <s v="Yes"/>
    <s v="Yes"/>
    <x v="1"/>
    <s v="Yes"/>
    <s v="traveling"/>
  </r>
  <r>
    <s v="Samarveer Maheshvari "/>
    <x v="0"/>
    <s v="Other"/>
    <s v="civil servent"/>
    <x v="7"/>
    <x v="6"/>
    <x v="8"/>
    <s v="40"/>
    <x v="0"/>
    <s v="Yes"/>
    <s v="No"/>
    <x v="0"/>
    <s v="Yes"/>
    <s v="paper work "/>
  </r>
  <r>
    <s v="Sumitra Ghorapde "/>
    <x v="1"/>
    <s v="Parent"/>
    <s v="home- maker"/>
    <x v="4"/>
    <x v="5"/>
    <x v="6"/>
    <s v="20"/>
    <x v="1"/>
    <s v="Yes"/>
    <m/>
    <x v="0"/>
    <s v="No"/>
    <s v=" chores"/>
  </r>
  <r>
    <s v="Sampad Kamate"/>
    <x v="1"/>
    <s v="Parent"/>
    <s v="Aasha Worker "/>
    <x v="0"/>
    <x v="0"/>
    <x v="10"/>
    <s v="15"/>
    <x v="1"/>
    <s v="Yes"/>
    <s v="Yes"/>
    <x v="1"/>
    <s v="Yes"/>
    <s v="Family responsibilty"/>
  </r>
  <r>
    <s v="Rajwardhan Sangmner"/>
    <x v="0"/>
    <s v="Sibling"/>
    <s v="job"/>
    <x v="5"/>
    <x v="9"/>
    <x v="1"/>
    <s v="30"/>
    <x v="0"/>
    <m/>
    <s v="Yes"/>
    <x v="1"/>
    <s v="Yes"/>
    <s v="JIM"/>
  </r>
  <r>
    <s v="Sonali  Mahajan"/>
    <x v="1"/>
    <s v="Parent"/>
    <s v="Gynecologist"/>
    <x v="7"/>
    <x v="11"/>
    <x v="8"/>
    <s v="10"/>
    <x v="1"/>
    <s v="No"/>
    <s v="No"/>
    <x v="0"/>
    <s v="No"/>
    <s v="None"/>
  </r>
  <r>
    <s v="Shobhita M"/>
    <x v="0"/>
    <s v="Sibling"/>
    <s v="Working"/>
    <x v="6"/>
    <x v="9"/>
    <x v="4"/>
    <n v="120"/>
    <x v="0"/>
    <s v="Yes"/>
    <s v="Yes"/>
    <x v="1"/>
    <s v="Yes"/>
    <s v="Sleep"/>
  </r>
  <r>
    <s v="Sagar More "/>
    <x v="0"/>
    <s v="Sibling"/>
    <s v="Driver"/>
    <x v="8"/>
    <x v="3"/>
    <x v="4"/>
    <s v="10"/>
    <x v="3"/>
    <s v="Yes"/>
    <s v="No"/>
    <x v="1"/>
    <s v="Yes"/>
    <s v="rest"/>
  </r>
  <r>
    <s v="Pooja Praksh More"/>
    <x v="0"/>
    <s v="Sibling"/>
    <s v="job"/>
    <x v="9"/>
    <x v="12"/>
    <x v="11"/>
    <s v="30"/>
    <x v="0"/>
    <s v="Yes"/>
    <s v="Yes"/>
    <x v="2"/>
    <s v="Maybe"/>
    <s v="Family Time"/>
  </r>
  <r>
    <s v="Sushama Sane"/>
    <x v="1"/>
    <s v="Parent"/>
    <s v="teacher"/>
    <x v="0"/>
    <x v="13"/>
    <x v="4"/>
    <s v="30"/>
    <x v="1"/>
    <s v="Yes"/>
    <s v="No"/>
    <x v="0"/>
    <s v="Maybe"/>
    <s v="hobby"/>
  </r>
  <r>
    <s v="Bobb Patel"/>
    <x v="1"/>
    <s v="Parent"/>
    <s v="Chef"/>
    <x v="0"/>
    <x v="1"/>
    <x v="4"/>
    <n v="60"/>
    <x v="0"/>
    <s v="Yes"/>
    <s v="Yes"/>
    <x v="0"/>
    <s v="Maybe"/>
    <s v="study"/>
  </r>
  <r>
    <s v="Vaisha Javed Ali"/>
    <x v="1"/>
    <s v="Parent"/>
    <s v="Businesswomen"/>
    <x v="0"/>
    <x v="14"/>
    <x v="3"/>
    <s v="40"/>
    <x v="0"/>
    <s v="Yes"/>
    <s v="No"/>
    <x v="0"/>
    <s v="Maybe"/>
    <s v="hobby"/>
  </r>
  <r>
    <s v="Sahil Patel "/>
    <x v="0"/>
    <m/>
    <s v="Doctor"/>
    <x v="4"/>
    <x v="7"/>
    <x v="8"/>
    <s v="30"/>
    <x v="0"/>
    <s v="Yes"/>
    <s v="No"/>
    <x v="0"/>
    <s v="Maybe"/>
    <s v="Maybe Reading"/>
  </r>
  <r>
    <s v="Snehal Patel"/>
    <x v="3"/>
    <s v="Sibling"/>
    <s v="student"/>
    <x v="4"/>
    <x v="7"/>
    <x v="1"/>
    <s v="0"/>
    <x v="1"/>
    <s v="No"/>
    <s v="No"/>
    <x v="0"/>
    <s v="Maybe"/>
    <s v="study"/>
  </r>
  <r>
    <s v="Swayam Jamdar "/>
    <x v="0"/>
    <s v="Sibling"/>
    <s v="Working"/>
    <x v="4"/>
    <x v="6"/>
    <x v="5"/>
    <n v="60"/>
    <x v="1"/>
    <s v="Yes"/>
    <s v="No"/>
    <x v="2"/>
    <s v="Maybe"/>
    <s v="outing"/>
  </r>
  <r>
    <s v="Swarnika Jamdar"/>
    <x v="0"/>
    <s v="Sibling"/>
    <s v="student"/>
    <x v="3"/>
    <x v="7"/>
    <x v="4"/>
    <s v="30"/>
    <x v="1"/>
    <s v="Yes"/>
    <s v="No"/>
    <x v="0"/>
    <s v="Yes"/>
    <s v="communication with family"/>
  </r>
  <r>
    <s v="Shreedhar Jamdar"/>
    <x v="1"/>
    <s v="Parent"/>
    <s v="businessman"/>
    <x v="8"/>
    <x v="15"/>
    <x v="4"/>
    <s v="30"/>
    <x v="0"/>
    <s v="Yes"/>
    <s v="Yes"/>
    <x v="0"/>
    <s v="Maybe"/>
    <s v="Family tal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8D10E-5CE1-4736-BEF9-57DB4BFF3C12}" name="PivotTable1" cacheId="4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E34:F38" firstHeaderRow="1" firstDataRow="1" firstDataCol="1"/>
  <pivotFields count="14"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Screentime " fld="4" subtotal="average" baseField="1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D4298-FA97-4DC3-A36C-5529B011C0B5}" name="PivotTable2" cacheId="4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>
  <location ref="E40:F41" firstHeaderRow="0" firstDataRow="1" firstDataCol="0"/>
  <pivotFields count="14"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>
      <items count="17">
        <item x="6"/>
        <item x="4"/>
        <item x="2"/>
        <item x="5"/>
        <item x="11"/>
        <item x="3"/>
        <item x="7"/>
        <item x="1"/>
        <item x="13"/>
        <item x="14"/>
        <item x="8"/>
        <item x="15"/>
        <item x="0"/>
        <item x="12"/>
        <item x="9"/>
        <item x="10"/>
        <item t="default"/>
      </items>
    </pivotField>
    <pivotField dataField="1" showAll="0">
      <items count="13">
        <item x="8"/>
        <item x="9"/>
        <item x="1"/>
        <item x="3"/>
        <item x="10"/>
        <item x="4"/>
        <item x="6"/>
        <item x="11"/>
        <item x="5"/>
        <item x="2"/>
        <item x="7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tudy/work screentime" fld="5" baseField="0" baseItem="0"/>
    <dataField name="Sum of Entertainmet screentime" fld="6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FA4ED2C-0178-489E-B156-74A7B59EF095}" autoFormatId="16" applyNumberFormats="0" applyBorderFormats="0" applyFontFormats="0" applyPatternFormats="0" applyAlignmentFormats="0" applyWidthHeightFormats="0">
  <queryTableRefresh nextId="15">
    <queryTableFields count="14">
      <queryTableField id="1" name="Name" tableColumnId="1"/>
      <queryTableField id="2" name="Age" tableColumnId="2"/>
      <queryTableField id="3" name="Role in family" tableColumnId="3"/>
      <queryTableField id="4" name="Occupation" tableColumnId="4"/>
      <queryTableField id="5" name="How much time do you use screen per day?.1" tableColumnId="5"/>
      <queryTableField id="6" name="How much time spent on study/work?.1" tableColumnId="6"/>
      <queryTableField id="7" name="How much time spent on entertainmet?.1" tableColumnId="7"/>
      <queryTableField id="8" name="How much time spent on social media? .1" tableColumnId="8"/>
      <queryTableField id="9" name="Most used device" tableColumnId="9"/>
      <queryTableField id="10" name="Do you use screens after 9 PM? " tableColumnId="10"/>
      <queryTableField id="11" name="  Do you think your screen time is too much? " tableColumnId="11"/>
      <queryTableField id="12" name="Has it affected your sleep? " tableColumnId="12"/>
      <queryTableField id="13" name="Do you want to reduce screen time?" tableColumnId="13"/>
      <queryTableField id="14" name="What do you miss because of screen time?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480354-594D-402C-865D-A74F5BBB67E1}" name="Form_Responses3_1_1" displayName="Form_Responses3_1_1" ref="A1:N32" tableType="queryTable" totalsRowShown="0" headerRowDxfId="17" headerRowBorderDxfId="16" tableBorderDxfId="15" totalsRowBorderDxfId="14">
  <tableColumns count="14">
    <tableColumn id="1" xr3:uid="{00520E6E-F306-472C-B19A-A19EC42B9572}" uniqueName="1" name="Name" queryTableFieldId="1" dataDxfId="13"/>
    <tableColumn id="2" xr3:uid="{6EF98AE5-93CF-425B-BCD0-9F61E953896A}" uniqueName="2" name="Age" queryTableFieldId="2" dataDxfId="12"/>
    <tableColumn id="3" xr3:uid="{0C71DCCB-1510-4A1E-9582-6A32BEA67604}" uniqueName="3" name="Role in family" queryTableFieldId="3" dataDxfId="11"/>
    <tableColumn id="4" xr3:uid="{481A44FC-0FF4-4932-848A-8DC96A148803}" uniqueName="4" name="Occupation" queryTableFieldId="4" dataDxfId="10"/>
    <tableColumn id="5" xr3:uid="{C82F2FD5-B0DF-4ADF-A0F0-09E52E04D0E4}" uniqueName="5" name="Screentime per day(Hr)" queryTableFieldId="5" dataDxfId="9"/>
    <tableColumn id="6" xr3:uid="{E6E74F15-4880-4DAB-8DF5-777A0AEE89E2}" uniqueName="6" name="Study/work screentime(Min)" queryTableFieldId="6" dataDxfId="8"/>
    <tableColumn id="7" xr3:uid="{2D7AE587-FF7E-4C8B-B99F-EAE2150A7842}" uniqueName="7" name="Entertainmet screentime(Min)" queryTableFieldId="7" dataDxfId="7"/>
    <tableColumn id="8" xr3:uid="{771F8191-AA4F-4EF8-810B-2E122D3D4BB6}" uniqueName="8" name="Social media screentime(Min)" queryTableFieldId="8" dataDxfId="6"/>
    <tableColumn id="9" xr3:uid="{A6BF247F-F30C-4B7D-BEF6-6FA5B624B0FF}" uniqueName="9" name="Most used device" queryTableFieldId="9" dataDxfId="5"/>
    <tableColumn id="10" xr3:uid="{90776C9B-E57E-4E37-B2AA-2C1D8F0104D9}" uniqueName="10" name="Screentime after 9 PM? " queryTableFieldId="10" dataDxfId="4"/>
    <tableColumn id="11" xr3:uid="{4884218F-2E64-4EDC-AC20-1A36978ED24C}" uniqueName="11" name="Screen time is too much? " queryTableFieldId="11" dataDxfId="3"/>
    <tableColumn id="12" xr3:uid="{34F50C63-7005-4370-BEFC-010E4D31E8D1}" uniqueName="12" name="Has it affected your sleep? " queryTableFieldId="12" dataDxfId="2"/>
    <tableColumn id="13" xr3:uid="{955E330E-B921-4753-9EB1-1A9AB63D96A0}" uniqueName="13" name="Reeduction of screen time need?" queryTableFieldId="13" dataDxfId="1"/>
    <tableColumn id="14" xr3:uid="{23BB8772-EB37-4DC0-BA79-040D215952D6}" uniqueName="14" name="Missed events" queryTableFieldId="1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2643-4E9E-4697-8266-A2CCF89AAC5F}">
  <dimension ref="A1:N92"/>
  <sheetViews>
    <sheetView tabSelected="1" topLeftCell="A28" workbookViewId="0">
      <selection activeCell="J82" sqref="J82"/>
    </sheetView>
  </sheetViews>
  <sheetFormatPr defaultRowHeight="13.2" x14ac:dyDescent="0.25"/>
  <cols>
    <col min="1" max="1" width="26.88671875" bestFit="1" customWidth="1"/>
    <col min="2" max="2" width="6.5546875" bestFit="1" customWidth="1"/>
    <col min="3" max="3" width="14.77734375" bestFit="1" customWidth="1"/>
    <col min="4" max="4" width="12.44140625" bestFit="1" customWidth="1"/>
    <col min="5" max="5" width="12.44140625" style="3" bestFit="1" customWidth="1"/>
    <col min="6" max="6" width="27.77734375" style="3" customWidth="1"/>
    <col min="7" max="7" width="23.6640625" style="3" bestFit="1" customWidth="1"/>
    <col min="8" max="8" width="10.33203125" style="3" customWidth="1"/>
    <col min="9" max="9" width="10.33203125" bestFit="1" customWidth="1"/>
    <col min="10" max="10" width="32.109375" bestFit="1" customWidth="1"/>
    <col min="11" max="11" width="43.88671875" bestFit="1" customWidth="1"/>
    <col min="12" max="12" width="27.33203125" bestFit="1" customWidth="1"/>
    <col min="13" max="13" width="35.44140625" bestFit="1" customWidth="1"/>
    <col min="14" max="14" width="41.5546875" bestFit="1" customWidth="1"/>
  </cols>
  <sheetData>
    <row r="1" spans="1:14" x14ac:dyDescent="0.25">
      <c r="A1" s="18" t="s">
        <v>0</v>
      </c>
      <c r="B1" s="19" t="s">
        <v>1</v>
      </c>
      <c r="C1" s="19" t="s">
        <v>2</v>
      </c>
      <c r="D1" s="19" t="s">
        <v>3</v>
      </c>
      <c r="E1" s="20" t="s">
        <v>130</v>
      </c>
      <c r="F1" s="20" t="s">
        <v>127</v>
      </c>
      <c r="G1" s="20" t="s">
        <v>128</v>
      </c>
      <c r="H1" s="20" t="s">
        <v>129</v>
      </c>
      <c r="I1" s="19" t="s">
        <v>4</v>
      </c>
      <c r="J1" s="21" t="s">
        <v>120</v>
      </c>
      <c r="K1" s="21" t="s">
        <v>117</v>
      </c>
      <c r="L1" s="19" t="s">
        <v>5</v>
      </c>
      <c r="M1" s="21" t="s">
        <v>119</v>
      </c>
      <c r="N1" s="22" t="s">
        <v>118</v>
      </c>
    </row>
    <row r="2" spans="1:14" x14ac:dyDescent="0.25">
      <c r="A2" s="30" t="s">
        <v>132</v>
      </c>
      <c r="B2" s="1" t="s">
        <v>6</v>
      </c>
      <c r="C2" s="1" t="s">
        <v>7</v>
      </c>
      <c r="D2" s="1" t="s">
        <v>8</v>
      </c>
      <c r="E2" s="2">
        <v>240</v>
      </c>
      <c r="F2" s="2">
        <v>240</v>
      </c>
      <c r="G2" s="2">
        <v>90</v>
      </c>
      <c r="H2" s="2" t="s">
        <v>105</v>
      </c>
      <c r="I2" s="1" t="s">
        <v>9</v>
      </c>
      <c r="J2" s="1" t="s">
        <v>10</v>
      </c>
      <c r="K2" s="1" t="s">
        <v>11</v>
      </c>
      <c r="L2" s="1" t="s">
        <v>10</v>
      </c>
      <c r="M2" s="1" t="s">
        <v>11</v>
      </c>
      <c r="N2" s="24" t="s">
        <v>12</v>
      </c>
    </row>
    <row r="3" spans="1:14" x14ac:dyDescent="0.25">
      <c r="A3" s="23" t="s">
        <v>13</v>
      </c>
      <c r="B3" s="1" t="s">
        <v>6</v>
      </c>
      <c r="C3" s="1" t="s">
        <v>7</v>
      </c>
      <c r="D3" s="1" t="s">
        <v>14</v>
      </c>
      <c r="E3" s="2">
        <v>360</v>
      </c>
      <c r="F3" s="2">
        <v>120</v>
      </c>
      <c r="G3" s="2">
        <v>30</v>
      </c>
      <c r="H3" s="2" t="s">
        <v>104</v>
      </c>
      <c r="I3" s="1" t="s">
        <v>9</v>
      </c>
      <c r="J3" s="1" t="s">
        <v>10</v>
      </c>
      <c r="K3" s="1" t="s">
        <v>11</v>
      </c>
      <c r="L3" s="1" t="s">
        <v>11</v>
      </c>
      <c r="M3" s="1" t="s">
        <v>11</v>
      </c>
      <c r="N3" s="24" t="s">
        <v>15</v>
      </c>
    </row>
    <row r="4" spans="1:14" x14ac:dyDescent="0.25">
      <c r="A4" s="23" t="s">
        <v>16</v>
      </c>
      <c r="B4" s="1" t="s">
        <v>6</v>
      </c>
      <c r="C4" s="1" t="s">
        <v>7</v>
      </c>
      <c r="D4" s="1" t="s">
        <v>17</v>
      </c>
      <c r="E4" s="2">
        <v>240</v>
      </c>
      <c r="F4" s="2">
        <v>30</v>
      </c>
      <c r="G4" s="2">
        <v>150</v>
      </c>
      <c r="H4" s="2">
        <v>60</v>
      </c>
      <c r="I4" s="1" t="s">
        <v>18</v>
      </c>
      <c r="J4" s="1" t="s">
        <v>11</v>
      </c>
      <c r="K4" s="1" t="s">
        <v>11</v>
      </c>
      <c r="L4" s="1" t="s">
        <v>19</v>
      </c>
      <c r="M4" s="1" t="s">
        <v>20</v>
      </c>
      <c r="N4" s="24" t="s">
        <v>21</v>
      </c>
    </row>
    <row r="5" spans="1:14" x14ac:dyDescent="0.25">
      <c r="A5" s="23" t="s">
        <v>22</v>
      </c>
      <c r="B5" s="1" t="s">
        <v>6</v>
      </c>
      <c r="C5" s="1" t="s">
        <v>7</v>
      </c>
      <c r="D5" s="1" t="s">
        <v>23</v>
      </c>
      <c r="E5" s="2">
        <v>60</v>
      </c>
      <c r="F5" s="2">
        <v>60</v>
      </c>
      <c r="G5" s="2">
        <v>36</v>
      </c>
      <c r="H5" s="2" t="s">
        <v>104</v>
      </c>
      <c r="I5" s="1" t="s">
        <v>18</v>
      </c>
      <c r="J5" s="1" t="s">
        <v>10</v>
      </c>
      <c r="K5" s="1" t="s">
        <v>10</v>
      </c>
      <c r="L5" s="25" t="s">
        <v>10</v>
      </c>
      <c r="M5" s="1" t="s">
        <v>20</v>
      </c>
      <c r="N5" s="24" t="s">
        <v>24</v>
      </c>
    </row>
    <row r="6" spans="1:14" x14ac:dyDescent="0.25">
      <c r="A6" s="23" t="s">
        <v>25</v>
      </c>
      <c r="B6" s="1" t="s">
        <v>6</v>
      </c>
      <c r="C6" s="1" t="s">
        <v>7</v>
      </c>
      <c r="D6" s="1" t="s">
        <v>26</v>
      </c>
      <c r="E6" s="2">
        <v>180</v>
      </c>
      <c r="F6" s="2">
        <v>120</v>
      </c>
      <c r="G6" s="2">
        <v>60</v>
      </c>
      <c r="H6" s="2">
        <v>60</v>
      </c>
      <c r="I6" s="1" t="s">
        <v>18</v>
      </c>
      <c r="J6" s="1" t="s">
        <v>11</v>
      </c>
      <c r="K6" s="1" t="s">
        <v>11</v>
      </c>
      <c r="L6" s="1" t="s">
        <v>11</v>
      </c>
      <c r="M6" s="1" t="s">
        <v>11</v>
      </c>
      <c r="N6" s="24" t="s">
        <v>27</v>
      </c>
    </row>
    <row r="7" spans="1:14" x14ac:dyDescent="0.25">
      <c r="A7" s="23" t="s">
        <v>28</v>
      </c>
      <c r="B7" s="1" t="s">
        <v>29</v>
      </c>
      <c r="C7" s="1" t="s">
        <v>30</v>
      </c>
      <c r="D7" s="1" t="s">
        <v>31</v>
      </c>
      <c r="E7" s="2">
        <v>120</v>
      </c>
      <c r="F7" s="2">
        <v>18</v>
      </c>
      <c r="G7" s="2">
        <v>120</v>
      </c>
      <c r="H7" s="2" t="s">
        <v>107</v>
      </c>
      <c r="I7" s="1" t="s">
        <v>18</v>
      </c>
      <c r="J7" s="1" t="s">
        <v>11</v>
      </c>
      <c r="K7" s="1" t="s">
        <v>10</v>
      </c>
      <c r="L7" s="1" t="s">
        <v>11</v>
      </c>
      <c r="M7" s="1" t="s">
        <v>20</v>
      </c>
      <c r="N7" s="24" t="s">
        <v>32</v>
      </c>
    </row>
    <row r="8" spans="1:14" x14ac:dyDescent="0.25">
      <c r="A8" s="23" t="s">
        <v>33</v>
      </c>
      <c r="B8" s="1" t="s">
        <v>29</v>
      </c>
      <c r="C8" s="1" t="s">
        <v>30</v>
      </c>
      <c r="D8" s="1" t="s">
        <v>34</v>
      </c>
      <c r="E8" s="2">
        <v>120</v>
      </c>
      <c r="F8" s="2">
        <v>36</v>
      </c>
      <c r="G8" s="2">
        <v>78</v>
      </c>
      <c r="H8" s="2" t="s">
        <v>105</v>
      </c>
      <c r="I8" s="1" t="s">
        <v>18</v>
      </c>
      <c r="J8" s="1" t="s">
        <v>10</v>
      </c>
      <c r="K8" s="1" t="s">
        <v>10</v>
      </c>
      <c r="L8" s="1" t="s">
        <v>10</v>
      </c>
      <c r="M8" s="1" t="s">
        <v>10</v>
      </c>
      <c r="N8" s="24" t="s">
        <v>35</v>
      </c>
    </row>
    <row r="9" spans="1:14" x14ac:dyDescent="0.25">
      <c r="A9" s="23" t="s">
        <v>36</v>
      </c>
      <c r="B9" s="1" t="s">
        <v>37</v>
      </c>
      <c r="C9" s="1" t="s">
        <v>38</v>
      </c>
      <c r="D9" s="1" t="s">
        <v>39</v>
      </c>
      <c r="E9" s="2">
        <v>240</v>
      </c>
      <c r="F9" s="2">
        <v>0</v>
      </c>
      <c r="G9" s="2">
        <v>240</v>
      </c>
      <c r="H9" s="2" t="s">
        <v>103</v>
      </c>
      <c r="I9" s="1" t="s">
        <v>40</v>
      </c>
      <c r="J9" s="1" t="s">
        <v>10</v>
      </c>
      <c r="K9" s="1" t="s">
        <v>11</v>
      </c>
      <c r="L9" s="1" t="s">
        <v>10</v>
      </c>
      <c r="M9" s="1" t="s">
        <v>20</v>
      </c>
      <c r="N9" s="24" t="s">
        <v>41</v>
      </c>
    </row>
    <row r="10" spans="1:14" x14ac:dyDescent="0.25">
      <c r="A10" s="23" t="s">
        <v>42</v>
      </c>
      <c r="B10" s="1" t="s">
        <v>43</v>
      </c>
      <c r="C10" s="1" t="s">
        <v>40</v>
      </c>
      <c r="D10" s="1" t="s">
        <v>44</v>
      </c>
      <c r="E10" s="2">
        <v>120</v>
      </c>
      <c r="F10" s="2">
        <v>120</v>
      </c>
      <c r="G10" s="2">
        <v>0</v>
      </c>
      <c r="H10" s="2" t="s">
        <v>104</v>
      </c>
      <c r="I10" s="1" t="s">
        <v>18</v>
      </c>
      <c r="J10" s="1" t="s">
        <v>10</v>
      </c>
      <c r="K10" s="1" t="s">
        <v>10</v>
      </c>
      <c r="L10" s="1" t="s">
        <v>10</v>
      </c>
      <c r="M10" s="1" t="s">
        <v>10</v>
      </c>
      <c r="N10" s="24" t="s">
        <v>45</v>
      </c>
    </row>
    <row r="11" spans="1:14" x14ac:dyDescent="0.25">
      <c r="A11" s="23" t="s">
        <v>46</v>
      </c>
      <c r="B11" s="1" t="s">
        <v>43</v>
      </c>
      <c r="C11" s="1" t="s">
        <v>40</v>
      </c>
      <c r="D11" s="1" t="s">
        <v>47</v>
      </c>
      <c r="E11" s="2">
        <v>120</v>
      </c>
      <c r="F11" s="2">
        <v>78</v>
      </c>
      <c r="G11" s="2">
        <v>36</v>
      </c>
      <c r="H11" s="2" t="s">
        <v>107</v>
      </c>
      <c r="I11" s="1" t="s">
        <v>18</v>
      </c>
      <c r="J11" s="1" t="s">
        <v>11</v>
      </c>
      <c r="K11" s="1" t="s">
        <v>10</v>
      </c>
      <c r="L11" s="1" t="s">
        <v>11</v>
      </c>
      <c r="M11" s="1" t="s">
        <v>20</v>
      </c>
      <c r="N11" s="24" t="s">
        <v>48</v>
      </c>
    </row>
    <row r="12" spans="1:14" x14ac:dyDescent="0.25">
      <c r="A12" s="23" t="s">
        <v>49</v>
      </c>
      <c r="B12" s="1" t="s">
        <v>6</v>
      </c>
      <c r="C12" s="1" t="s">
        <v>40</v>
      </c>
      <c r="D12" s="1" t="s">
        <v>50</v>
      </c>
      <c r="E12" s="2">
        <v>180</v>
      </c>
      <c r="F12" s="2">
        <v>207</v>
      </c>
      <c r="G12" s="2">
        <v>0</v>
      </c>
      <c r="H12" s="2" t="s">
        <v>104</v>
      </c>
      <c r="I12" s="1" t="s">
        <v>9</v>
      </c>
      <c r="J12" s="1" t="s">
        <v>11</v>
      </c>
      <c r="K12" s="1" t="s">
        <v>11</v>
      </c>
      <c r="L12" s="1" t="s">
        <v>11</v>
      </c>
      <c r="M12" s="1" t="s">
        <v>11</v>
      </c>
      <c r="N12" s="24" t="s">
        <v>51</v>
      </c>
    </row>
    <row r="13" spans="1:14" x14ac:dyDescent="0.25">
      <c r="A13" s="23" t="s">
        <v>52</v>
      </c>
      <c r="B13" s="1" t="s">
        <v>43</v>
      </c>
      <c r="C13" s="1" t="s">
        <v>40</v>
      </c>
      <c r="D13" s="1" t="s">
        <v>44</v>
      </c>
      <c r="E13" s="2">
        <v>60</v>
      </c>
      <c r="F13" s="2">
        <v>30</v>
      </c>
      <c r="G13" s="2">
        <v>27</v>
      </c>
      <c r="H13" s="2" t="s">
        <v>105</v>
      </c>
      <c r="I13" s="1" t="s">
        <v>18</v>
      </c>
      <c r="J13" s="1" t="s">
        <v>10</v>
      </c>
      <c r="K13" s="1" t="s">
        <v>10</v>
      </c>
      <c r="L13" s="1" t="s">
        <v>19</v>
      </c>
      <c r="M13" s="1" t="s">
        <v>20</v>
      </c>
      <c r="N13" s="24" t="s">
        <v>53</v>
      </c>
    </row>
    <row r="14" spans="1:14" x14ac:dyDescent="0.25">
      <c r="A14" s="23" t="s">
        <v>54</v>
      </c>
      <c r="B14" s="1" t="s">
        <v>43</v>
      </c>
      <c r="C14" s="1" t="s">
        <v>40</v>
      </c>
      <c r="D14" s="1" t="s">
        <v>55</v>
      </c>
      <c r="E14" s="2">
        <v>180</v>
      </c>
      <c r="F14" s="2">
        <v>36</v>
      </c>
      <c r="G14" s="2">
        <v>27</v>
      </c>
      <c r="H14" s="2" t="s">
        <v>103</v>
      </c>
      <c r="I14" s="1" t="s">
        <v>40</v>
      </c>
      <c r="J14" s="1" t="s">
        <v>10</v>
      </c>
      <c r="K14" s="1" t="s">
        <v>10</v>
      </c>
      <c r="L14" s="1" t="s">
        <v>19</v>
      </c>
      <c r="M14" s="1" t="s">
        <v>20</v>
      </c>
      <c r="N14" s="24" t="s">
        <v>56</v>
      </c>
    </row>
    <row r="15" spans="1:14" x14ac:dyDescent="0.25">
      <c r="A15" s="23" t="s">
        <v>57</v>
      </c>
      <c r="B15" s="1" t="s">
        <v>29</v>
      </c>
      <c r="C15" s="1" t="s">
        <v>40</v>
      </c>
      <c r="D15" s="1" t="s">
        <v>58</v>
      </c>
      <c r="E15" s="2">
        <v>480</v>
      </c>
      <c r="F15" s="2">
        <v>420</v>
      </c>
      <c r="G15" s="2">
        <v>60</v>
      </c>
      <c r="H15" s="2">
        <v>60</v>
      </c>
      <c r="I15" s="1" t="s">
        <v>9</v>
      </c>
      <c r="J15" s="1" t="s">
        <v>11</v>
      </c>
      <c r="K15" s="1" t="s">
        <v>11</v>
      </c>
      <c r="L15" s="1" t="s">
        <v>11</v>
      </c>
      <c r="M15" s="1" t="s">
        <v>20</v>
      </c>
      <c r="N15" s="24" t="s">
        <v>59</v>
      </c>
    </row>
    <row r="16" spans="1:14" x14ac:dyDescent="0.25">
      <c r="A16" s="23" t="s">
        <v>60</v>
      </c>
      <c r="B16" s="1" t="s">
        <v>6</v>
      </c>
      <c r="C16" s="1" t="s">
        <v>40</v>
      </c>
      <c r="D16" s="1" t="s">
        <v>61</v>
      </c>
      <c r="E16" s="2">
        <v>540</v>
      </c>
      <c r="F16" s="2">
        <v>480</v>
      </c>
      <c r="G16" s="2">
        <v>60</v>
      </c>
      <c r="H16" s="2">
        <v>60</v>
      </c>
      <c r="I16" s="1" t="s">
        <v>9</v>
      </c>
      <c r="J16" s="1" t="s">
        <v>11</v>
      </c>
      <c r="K16" s="1" t="s">
        <v>11</v>
      </c>
      <c r="L16" s="1" t="s">
        <v>11</v>
      </c>
      <c r="M16" s="1" t="s">
        <v>11</v>
      </c>
      <c r="N16" s="24" t="s">
        <v>62</v>
      </c>
    </row>
    <row r="17" spans="1:14" x14ac:dyDescent="0.25">
      <c r="A17" s="23" t="s">
        <v>63</v>
      </c>
      <c r="B17" s="1" t="s">
        <v>6</v>
      </c>
      <c r="C17" s="1" t="s">
        <v>40</v>
      </c>
      <c r="D17" s="1" t="s">
        <v>64</v>
      </c>
      <c r="E17" s="2">
        <v>0</v>
      </c>
      <c r="F17" s="2">
        <v>0</v>
      </c>
      <c r="G17" s="2">
        <v>0</v>
      </c>
      <c r="H17" s="2" t="s">
        <v>108</v>
      </c>
      <c r="I17" s="1" t="s">
        <v>9</v>
      </c>
      <c r="J17" s="1" t="s">
        <v>11</v>
      </c>
      <c r="K17" s="1" t="s">
        <v>10</v>
      </c>
      <c r="L17" s="1" t="s">
        <v>10</v>
      </c>
      <c r="M17" s="1" t="s">
        <v>11</v>
      </c>
      <c r="N17" s="24" t="s">
        <v>65</v>
      </c>
    </row>
    <row r="18" spans="1:14" x14ac:dyDescent="0.25">
      <c r="A18" s="23" t="s">
        <v>66</v>
      </c>
      <c r="B18" s="1" t="s">
        <v>29</v>
      </c>
      <c r="C18" s="1" t="s">
        <v>30</v>
      </c>
      <c r="D18" s="1" t="s">
        <v>67</v>
      </c>
      <c r="E18" s="2">
        <v>120</v>
      </c>
      <c r="F18" s="2">
        <v>36</v>
      </c>
      <c r="G18" s="2">
        <v>78</v>
      </c>
      <c r="H18" s="2" t="s">
        <v>107</v>
      </c>
      <c r="I18" s="1" t="s">
        <v>18</v>
      </c>
      <c r="J18" s="1" t="s">
        <v>11</v>
      </c>
      <c r="K18" s="25" t="s">
        <v>10</v>
      </c>
      <c r="L18" s="1" t="s">
        <v>10</v>
      </c>
      <c r="M18" s="1" t="s">
        <v>10</v>
      </c>
      <c r="N18" s="24" t="s">
        <v>68</v>
      </c>
    </row>
    <row r="19" spans="1:14" x14ac:dyDescent="0.25">
      <c r="A19" s="23" t="s">
        <v>69</v>
      </c>
      <c r="B19" s="1" t="s">
        <v>29</v>
      </c>
      <c r="C19" s="1" t="s">
        <v>30</v>
      </c>
      <c r="D19" s="1" t="s">
        <v>70</v>
      </c>
      <c r="E19" s="2">
        <v>240</v>
      </c>
      <c r="F19" s="2">
        <v>240</v>
      </c>
      <c r="G19" s="2">
        <v>45</v>
      </c>
      <c r="H19" s="2" t="s">
        <v>104</v>
      </c>
      <c r="I19" s="1" t="s">
        <v>18</v>
      </c>
      <c r="J19" s="1" t="s">
        <v>11</v>
      </c>
      <c r="K19" s="1" t="s">
        <v>11</v>
      </c>
      <c r="L19" s="1" t="s">
        <v>11</v>
      </c>
      <c r="M19" s="1" t="s">
        <v>11</v>
      </c>
      <c r="N19" s="24" t="s">
        <v>71</v>
      </c>
    </row>
    <row r="20" spans="1:14" x14ac:dyDescent="0.25">
      <c r="A20" s="23" t="s">
        <v>72</v>
      </c>
      <c r="B20" s="1" t="s">
        <v>6</v>
      </c>
      <c r="C20" s="1" t="s">
        <v>7</v>
      </c>
      <c r="D20" s="1" t="s">
        <v>73</v>
      </c>
      <c r="E20" s="2">
        <v>480</v>
      </c>
      <c r="F20" s="2">
        <v>420</v>
      </c>
      <c r="G20" s="2">
        <v>30</v>
      </c>
      <c r="H20" s="2" t="s">
        <v>106</v>
      </c>
      <c r="I20" s="1" t="s">
        <v>9</v>
      </c>
      <c r="J20" s="25" t="s">
        <v>10</v>
      </c>
      <c r="K20" s="1" t="s">
        <v>11</v>
      </c>
      <c r="L20" s="1" t="s">
        <v>11</v>
      </c>
      <c r="M20" s="1" t="s">
        <v>11</v>
      </c>
      <c r="N20" s="24" t="s">
        <v>74</v>
      </c>
    </row>
    <row r="21" spans="1:14" x14ac:dyDescent="0.25">
      <c r="A21" s="23" t="s">
        <v>75</v>
      </c>
      <c r="B21" s="1" t="s">
        <v>29</v>
      </c>
      <c r="C21" s="1" t="s">
        <v>30</v>
      </c>
      <c r="D21" s="1" t="s">
        <v>76</v>
      </c>
      <c r="E21" s="2">
        <v>0</v>
      </c>
      <c r="F21" s="2">
        <v>51</v>
      </c>
      <c r="G21" s="2">
        <v>0</v>
      </c>
      <c r="H21" s="2" t="s">
        <v>105</v>
      </c>
      <c r="I21" s="1" t="s">
        <v>18</v>
      </c>
      <c r="J21" s="1" t="s">
        <v>10</v>
      </c>
      <c r="K21" s="1" t="s">
        <v>10</v>
      </c>
      <c r="L21" s="1" t="s">
        <v>10</v>
      </c>
      <c r="M21" s="1" t="s">
        <v>10</v>
      </c>
      <c r="N21" s="24" t="s">
        <v>77</v>
      </c>
    </row>
    <row r="22" spans="1:14" x14ac:dyDescent="0.25">
      <c r="A22" s="23" t="s">
        <v>78</v>
      </c>
      <c r="B22" s="1" t="s">
        <v>6</v>
      </c>
      <c r="C22" s="1" t="s">
        <v>7</v>
      </c>
      <c r="D22" s="1" t="s">
        <v>79</v>
      </c>
      <c r="E22" s="2">
        <v>540</v>
      </c>
      <c r="F22" s="2">
        <v>420</v>
      </c>
      <c r="G22" s="2">
        <v>60</v>
      </c>
      <c r="H22" s="2">
        <v>120</v>
      </c>
      <c r="I22" s="1" t="s">
        <v>9</v>
      </c>
      <c r="J22" s="1" t="s">
        <v>11</v>
      </c>
      <c r="K22" s="1" t="s">
        <v>11</v>
      </c>
      <c r="L22" s="1" t="s">
        <v>11</v>
      </c>
      <c r="M22" s="1" t="s">
        <v>11</v>
      </c>
      <c r="N22" s="24" t="s">
        <v>80</v>
      </c>
    </row>
    <row r="23" spans="1:14" x14ac:dyDescent="0.25">
      <c r="A23" s="23" t="s">
        <v>81</v>
      </c>
      <c r="B23" s="1" t="s">
        <v>6</v>
      </c>
      <c r="C23" s="1" t="s">
        <v>7</v>
      </c>
      <c r="D23" s="1" t="s">
        <v>82</v>
      </c>
      <c r="E23" s="2">
        <v>300</v>
      </c>
      <c r="F23" s="2">
        <v>60</v>
      </c>
      <c r="G23" s="2">
        <v>60</v>
      </c>
      <c r="H23" s="2" t="s">
        <v>105</v>
      </c>
      <c r="I23" s="1" t="s">
        <v>83</v>
      </c>
      <c r="J23" s="1" t="s">
        <v>11</v>
      </c>
      <c r="K23" s="1" t="s">
        <v>10</v>
      </c>
      <c r="L23" s="1" t="s">
        <v>11</v>
      </c>
      <c r="M23" s="1" t="s">
        <v>11</v>
      </c>
      <c r="N23" s="24" t="s">
        <v>84</v>
      </c>
    </row>
    <row r="24" spans="1:14" x14ac:dyDescent="0.25">
      <c r="A24" s="30" t="s">
        <v>131</v>
      </c>
      <c r="B24" s="1" t="s">
        <v>6</v>
      </c>
      <c r="C24" s="1" t="s">
        <v>7</v>
      </c>
      <c r="D24" s="1" t="s">
        <v>73</v>
      </c>
      <c r="E24" s="2">
        <v>420</v>
      </c>
      <c r="F24" s="2">
        <v>360</v>
      </c>
      <c r="G24" s="2">
        <v>90</v>
      </c>
      <c r="H24" s="2" t="s">
        <v>106</v>
      </c>
      <c r="I24" s="1" t="s">
        <v>9</v>
      </c>
      <c r="J24" s="1" t="s">
        <v>11</v>
      </c>
      <c r="K24" s="1" t="s">
        <v>11</v>
      </c>
      <c r="L24" s="1" t="s">
        <v>19</v>
      </c>
      <c r="M24" s="1" t="s">
        <v>20</v>
      </c>
      <c r="N24" s="24" t="s">
        <v>85</v>
      </c>
    </row>
    <row r="25" spans="1:14" x14ac:dyDescent="0.25">
      <c r="A25" s="23" t="s">
        <v>86</v>
      </c>
      <c r="B25" s="1" t="s">
        <v>29</v>
      </c>
      <c r="C25" s="1" t="s">
        <v>30</v>
      </c>
      <c r="D25" s="1" t="s">
        <v>14</v>
      </c>
      <c r="E25" s="2">
        <v>240</v>
      </c>
      <c r="F25" s="2">
        <v>150</v>
      </c>
      <c r="G25" s="2">
        <v>60</v>
      </c>
      <c r="H25" s="2" t="s">
        <v>106</v>
      </c>
      <c r="I25" s="1" t="s">
        <v>18</v>
      </c>
      <c r="J25" s="1" t="s">
        <v>11</v>
      </c>
      <c r="K25" s="1" t="s">
        <v>10</v>
      </c>
      <c r="L25" s="1" t="s">
        <v>10</v>
      </c>
      <c r="M25" s="1" t="s">
        <v>20</v>
      </c>
      <c r="N25" s="24" t="s">
        <v>87</v>
      </c>
    </row>
    <row r="26" spans="1:14" x14ac:dyDescent="0.25">
      <c r="A26" s="23" t="s">
        <v>88</v>
      </c>
      <c r="B26" s="1" t="s">
        <v>29</v>
      </c>
      <c r="C26" s="1" t="s">
        <v>30</v>
      </c>
      <c r="D26" s="1" t="s">
        <v>89</v>
      </c>
      <c r="E26" s="2">
        <v>240</v>
      </c>
      <c r="F26" s="2">
        <v>120</v>
      </c>
      <c r="G26" s="2">
        <v>60</v>
      </c>
      <c r="H26" s="2">
        <v>60</v>
      </c>
      <c r="I26" s="1" t="s">
        <v>9</v>
      </c>
      <c r="J26" s="1" t="s">
        <v>11</v>
      </c>
      <c r="K26" s="1" t="s">
        <v>11</v>
      </c>
      <c r="L26" s="1" t="s">
        <v>10</v>
      </c>
      <c r="M26" s="1" t="s">
        <v>20</v>
      </c>
      <c r="N26" s="24" t="s">
        <v>56</v>
      </c>
    </row>
    <row r="27" spans="1:14" x14ac:dyDescent="0.25">
      <c r="A27" s="23" t="s">
        <v>90</v>
      </c>
      <c r="B27" s="1" t="s">
        <v>29</v>
      </c>
      <c r="C27" s="1" t="s">
        <v>30</v>
      </c>
      <c r="D27" s="1" t="s">
        <v>91</v>
      </c>
      <c r="E27" s="2">
        <v>240</v>
      </c>
      <c r="F27" s="2">
        <v>180</v>
      </c>
      <c r="G27" s="2">
        <v>36</v>
      </c>
      <c r="H27" s="2" t="s">
        <v>108</v>
      </c>
      <c r="I27" s="1" t="s">
        <v>9</v>
      </c>
      <c r="J27" s="1" t="s">
        <v>11</v>
      </c>
      <c r="K27" s="1" t="s">
        <v>10</v>
      </c>
      <c r="L27" s="1" t="s">
        <v>10</v>
      </c>
      <c r="M27" s="1" t="s">
        <v>20</v>
      </c>
      <c r="N27" s="24" t="s">
        <v>87</v>
      </c>
    </row>
    <row r="28" spans="1:14" x14ac:dyDescent="0.25">
      <c r="A28" s="23" t="s">
        <v>92</v>
      </c>
      <c r="B28" s="1" t="s">
        <v>6</v>
      </c>
      <c r="C28" s="1"/>
      <c r="D28" s="1" t="s">
        <v>93</v>
      </c>
      <c r="E28" s="2">
        <v>120</v>
      </c>
      <c r="F28" s="2">
        <v>78</v>
      </c>
      <c r="G28" s="2">
        <v>0</v>
      </c>
      <c r="H28" s="2" t="s">
        <v>106</v>
      </c>
      <c r="I28" s="1" t="s">
        <v>9</v>
      </c>
      <c r="J28" s="1" t="s">
        <v>11</v>
      </c>
      <c r="K28" s="1" t="s">
        <v>10</v>
      </c>
      <c r="L28" s="1" t="s">
        <v>10</v>
      </c>
      <c r="M28" s="1" t="s">
        <v>20</v>
      </c>
      <c r="N28" s="24" t="s">
        <v>94</v>
      </c>
    </row>
    <row r="29" spans="1:14" x14ac:dyDescent="0.25">
      <c r="A29" s="23" t="s">
        <v>95</v>
      </c>
      <c r="B29" s="1" t="s">
        <v>43</v>
      </c>
      <c r="C29" s="1" t="s">
        <v>7</v>
      </c>
      <c r="D29" s="1" t="s">
        <v>55</v>
      </c>
      <c r="E29" s="2">
        <v>120</v>
      </c>
      <c r="F29" s="2">
        <v>78</v>
      </c>
      <c r="G29" s="2">
        <v>30</v>
      </c>
      <c r="H29" s="2" t="s">
        <v>103</v>
      </c>
      <c r="I29" s="1" t="s">
        <v>18</v>
      </c>
      <c r="J29" s="1" t="s">
        <v>10</v>
      </c>
      <c r="K29" s="1" t="s">
        <v>10</v>
      </c>
      <c r="L29" s="1" t="s">
        <v>10</v>
      </c>
      <c r="M29" s="1" t="s">
        <v>20</v>
      </c>
      <c r="N29" s="24" t="s">
        <v>56</v>
      </c>
    </row>
    <row r="30" spans="1:14" x14ac:dyDescent="0.25">
      <c r="A30" s="23" t="s">
        <v>96</v>
      </c>
      <c r="B30" s="1" t="s">
        <v>6</v>
      </c>
      <c r="C30" s="1" t="s">
        <v>7</v>
      </c>
      <c r="D30" s="1" t="s">
        <v>79</v>
      </c>
      <c r="E30" s="2">
        <v>120</v>
      </c>
      <c r="F30" s="2">
        <v>0</v>
      </c>
      <c r="G30" s="2">
        <v>120</v>
      </c>
      <c r="H30" s="2">
        <v>60</v>
      </c>
      <c r="I30" s="1" t="s">
        <v>18</v>
      </c>
      <c r="J30" s="1" t="s">
        <v>11</v>
      </c>
      <c r="K30" s="1" t="s">
        <v>10</v>
      </c>
      <c r="L30" s="1" t="s">
        <v>19</v>
      </c>
      <c r="M30" s="1" t="s">
        <v>20</v>
      </c>
      <c r="N30" s="24" t="s">
        <v>97</v>
      </c>
    </row>
    <row r="31" spans="1:14" x14ac:dyDescent="0.25">
      <c r="A31" s="23" t="s">
        <v>98</v>
      </c>
      <c r="B31" s="1" t="s">
        <v>6</v>
      </c>
      <c r="C31" s="1" t="s">
        <v>7</v>
      </c>
      <c r="D31" s="1" t="s">
        <v>44</v>
      </c>
      <c r="E31" s="2">
        <v>180</v>
      </c>
      <c r="F31" s="2">
        <v>78</v>
      </c>
      <c r="G31" s="2">
        <v>60</v>
      </c>
      <c r="H31" s="2" t="s">
        <v>106</v>
      </c>
      <c r="I31" s="1" t="s">
        <v>18</v>
      </c>
      <c r="J31" s="1" t="s">
        <v>11</v>
      </c>
      <c r="K31" s="1" t="s">
        <v>10</v>
      </c>
      <c r="L31" s="1" t="s">
        <v>10</v>
      </c>
      <c r="M31" s="1" t="s">
        <v>11</v>
      </c>
      <c r="N31" s="24" t="s">
        <v>99</v>
      </c>
    </row>
    <row r="32" spans="1:14" x14ac:dyDescent="0.25">
      <c r="A32" s="26" t="s">
        <v>100</v>
      </c>
      <c r="B32" s="27" t="s">
        <v>29</v>
      </c>
      <c r="C32" s="27" t="s">
        <v>30</v>
      </c>
      <c r="D32" s="27" t="s">
        <v>101</v>
      </c>
      <c r="E32" s="28">
        <v>300</v>
      </c>
      <c r="F32" s="28">
        <v>210</v>
      </c>
      <c r="G32" s="28">
        <v>60</v>
      </c>
      <c r="H32" s="28" t="s">
        <v>106</v>
      </c>
      <c r="I32" s="27" t="s">
        <v>9</v>
      </c>
      <c r="J32" s="27" t="s">
        <v>11</v>
      </c>
      <c r="K32" s="27" t="s">
        <v>11</v>
      </c>
      <c r="L32" s="27" t="s">
        <v>10</v>
      </c>
      <c r="M32" s="27" t="s">
        <v>20</v>
      </c>
      <c r="N32" s="29" t="s">
        <v>102</v>
      </c>
    </row>
    <row r="34" spans="1:8" x14ac:dyDescent="0.25">
      <c r="A34" s="17" t="s">
        <v>126</v>
      </c>
      <c r="E34" s="7" t="s">
        <v>121</v>
      </c>
      <c r="F34" s="8" t="s">
        <v>124</v>
      </c>
    </row>
    <row r="35" spans="1:8" ht="14.4" x14ac:dyDescent="0.25">
      <c r="A35" s="4" t="s">
        <v>109</v>
      </c>
      <c r="E35" s="9" t="s">
        <v>43</v>
      </c>
      <c r="F35" s="8">
        <v>120</v>
      </c>
    </row>
    <row r="36" spans="1:8" x14ac:dyDescent="0.25">
      <c r="E36" s="10" t="s">
        <v>6</v>
      </c>
      <c r="F36" s="11">
        <v>264</v>
      </c>
      <c r="H36"/>
    </row>
    <row r="37" spans="1:8" x14ac:dyDescent="0.25">
      <c r="E37" s="10" t="s">
        <v>29</v>
      </c>
      <c r="F37" s="11">
        <v>210</v>
      </c>
      <c r="H37"/>
    </row>
    <row r="38" spans="1:8" x14ac:dyDescent="0.25">
      <c r="E38" s="12" t="s">
        <v>37</v>
      </c>
      <c r="F38" s="13">
        <v>240</v>
      </c>
      <c r="H38"/>
    </row>
    <row r="39" spans="1:8" x14ac:dyDescent="0.25">
      <c r="E39"/>
      <c r="F39"/>
      <c r="H39"/>
    </row>
    <row r="40" spans="1:8" ht="14.4" x14ac:dyDescent="0.25">
      <c r="A40" s="4" t="s">
        <v>110</v>
      </c>
      <c r="E40" s="6" t="s">
        <v>123</v>
      </c>
      <c r="F40" s="14" t="s">
        <v>122</v>
      </c>
      <c r="H40"/>
    </row>
    <row r="41" spans="1:8" x14ac:dyDescent="0.25">
      <c r="E41" s="15">
        <v>4476</v>
      </c>
      <c r="F41" s="16">
        <v>2613</v>
      </c>
      <c r="H41"/>
    </row>
    <row r="42" spans="1:8" x14ac:dyDescent="0.25">
      <c r="E42"/>
      <c r="F42"/>
      <c r="H42"/>
    </row>
    <row r="43" spans="1:8" ht="14.4" x14ac:dyDescent="0.25">
      <c r="A43" s="4" t="s">
        <v>111</v>
      </c>
      <c r="E43" s="31">
        <f>COUNTIF(Form_Responses3_1_1[Screentime after 9 PM? ],$J$4)</f>
        <v>20</v>
      </c>
      <c r="F43"/>
      <c r="H43"/>
    </row>
    <row r="44" spans="1:8" x14ac:dyDescent="0.25">
      <c r="E44"/>
      <c r="F44"/>
      <c r="H44"/>
    </row>
    <row r="45" spans="1:8" ht="13.8" customHeight="1" x14ac:dyDescent="0.25">
      <c r="A45" s="4" t="s">
        <v>112</v>
      </c>
      <c r="E45" s="31">
        <f>COUNTIF(Form_Responses3_1_1[Has it affected your sleep? ],$L$3)</f>
        <v>11</v>
      </c>
      <c r="F45"/>
      <c r="H45"/>
    </row>
    <row r="46" spans="1:8" ht="13.8" customHeight="1" x14ac:dyDescent="0.25">
      <c r="A46" s="4"/>
      <c r="E46"/>
      <c r="F46"/>
      <c r="H46"/>
    </row>
    <row r="47" spans="1:8" ht="14.4" x14ac:dyDescent="0.25">
      <c r="A47" s="5" t="s">
        <v>125</v>
      </c>
      <c r="F47"/>
      <c r="H47"/>
    </row>
    <row r="48" spans="1:8" ht="14.4" x14ac:dyDescent="0.25">
      <c r="A48" s="4" t="s">
        <v>113</v>
      </c>
      <c r="F48"/>
      <c r="H48"/>
    </row>
    <row r="49" spans="1:8" x14ac:dyDescent="0.25">
      <c r="H49"/>
    </row>
    <row r="50" spans="1:8" x14ac:dyDescent="0.25">
      <c r="E50"/>
      <c r="F50"/>
      <c r="H50"/>
    </row>
    <row r="51" spans="1:8" x14ac:dyDescent="0.25">
      <c r="E51"/>
      <c r="F51"/>
      <c r="H51"/>
    </row>
    <row r="52" spans="1:8" x14ac:dyDescent="0.25">
      <c r="E52"/>
      <c r="F52"/>
      <c r="H52"/>
    </row>
    <row r="53" spans="1:8" x14ac:dyDescent="0.25">
      <c r="E53"/>
      <c r="F53"/>
      <c r="G53"/>
      <c r="H53"/>
    </row>
    <row r="54" spans="1:8" x14ac:dyDescent="0.25">
      <c r="E54"/>
      <c r="F54"/>
      <c r="G54"/>
      <c r="H54"/>
    </row>
    <row r="55" spans="1:8" x14ac:dyDescent="0.25">
      <c r="G55"/>
      <c r="H55"/>
    </row>
    <row r="56" spans="1:8" x14ac:dyDescent="0.25">
      <c r="H56"/>
    </row>
    <row r="57" spans="1:8" x14ac:dyDescent="0.25">
      <c r="H57"/>
    </row>
    <row r="58" spans="1:8" ht="14.4" x14ac:dyDescent="0.25">
      <c r="A58" s="4" t="s">
        <v>114</v>
      </c>
    </row>
    <row r="61" spans="1:8" ht="14.4" x14ac:dyDescent="0.25">
      <c r="A61" s="5"/>
    </row>
    <row r="62" spans="1:8" x14ac:dyDescent="0.25">
      <c r="E62"/>
    </row>
    <row r="64" spans="1:8" x14ac:dyDescent="0.25">
      <c r="E64"/>
      <c r="F64"/>
      <c r="G64"/>
      <c r="H64"/>
    </row>
    <row r="65" spans="1:8" x14ac:dyDescent="0.25">
      <c r="E65"/>
      <c r="F65"/>
      <c r="G65"/>
      <c r="H65"/>
    </row>
    <row r="66" spans="1:8" x14ac:dyDescent="0.25">
      <c r="E66"/>
      <c r="F66"/>
      <c r="G66"/>
      <c r="H66"/>
    </row>
    <row r="67" spans="1:8" x14ac:dyDescent="0.25">
      <c r="E67"/>
      <c r="F67"/>
    </row>
    <row r="68" spans="1:8" x14ac:dyDescent="0.25">
      <c r="E68"/>
      <c r="F68"/>
    </row>
    <row r="69" spans="1:8" ht="14.4" x14ac:dyDescent="0.25">
      <c r="A69" s="4" t="s">
        <v>115</v>
      </c>
      <c r="E69"/>
      <c r="F69"/>
    </row>
    <row r="70" spans="1:8" x14ac:dyDescent="0.25">
      <c r="E70"/>
      <c r="F70"/>
    </row>
    <row r="71" spans="1:8" x14ac:dyDescent="0.25">
      <c r="E71"/>
      <c r="F71"/>
    </row>
    <row r="72" spans="1:8" x14ac:dyDescent="0.25">
      <c r="E72"/>
      <c r="F72"/>
    </row>
    <row r="73" spans="1:8" x14ac:dyDescent="0.25">
      <c r="E73"/>
      <c r="F73"/>
    </row>
    <row r="74" spans="1:8" x14ac:dyDescent="0.25">
      <c r="E74"/>
      <c r="F74"/>
    </row>
    <row r="75" spans="1:8" x14ac:dyDescent="0.25">
      <c r="E75"/>
      <c r="F75"/>
      <c r="G75"/>
    </row>
    <row r="76" spans="1:8" x14ac:dyDescent="0.25">
      <c r="E76"/>
      <c r="F76"/>
      <c r="G76"/>
    </row>
    <row r="77" spans="1:8" x14ac:dyDescent="0.25">
      <c r="E77"/>
      <c r="F77"/>
      <c r="G77"/>
    </row>
    <row r="78" spans="1:8" x14ac:dyDescent="0.25">
      <c r="E78"/>
      <c r="F78"/>
      <c r="G78"/>
    </row>
    <row r="79" spans="1:8" ht="14.4" x14ac:dyDescent="0.25">
      <c r="A79" s="4" t="s">
        <v>116</v>
      </c>
      <c r="E79"/>
      <c r="F79"/>
      <c r="G79"/>
    </row>
    <row r="80" spans="1:8" x14ac:dyDescent="0.25">
      <c r="E80"/>
      <c r="F80"/>
      <c r="G80"/>
    </row>
    <row r="81" spans="5:7" x14ac:dyDescent="0.25">
      <c r="E81"/>
      <c r="F81"/>
      <c r="G81"/>
    </row>
    <row r="82" spans="5:7" x14ac:dyDescent="0.25">
      <c r="E82"/>
      <c r="F82"/>
      <c r="G82"/>
    </row>
    <row r="83" spans="5:7" x14ac:dyDescent="0.25">
      <c r="E83"/>
      <c r="F83"/>
      <c r="G83"/>
    </row>
    <row r="84" spans="5:7" x14ac:dyDescent="0.25">
      <c r="E84"/>
      <c r="F84"/>
      <c r="G84"/>
    </row>
    <row r="85" spans="5:7" x14ac:dyDescent="0.25">
      <c r="E85"/>
      <c r="F85"/>
      <c r="G85"/>
    </row>
    <row r="86" spans="5:7" x14ac:dyDescent="0.25">
      <c r="E86"/>
      <c r="F86"/>
      <c r="G86"/>
    </row>
    <row r="87" spans="5:7" x14ac:dyDescent="0.25">
      <c r="E87"/>
      <c r="F87"/>
      <c r="G87"/>
    </row>
    <row r="88" spans="5:7" x14ac:dyDescent="0.25">
      <c r="E88"/>
      <c r="F88"/>
      <c r="G88"/>
    </row>
    <row r="89" spans="5:7" x14ac:dyDescent="0.25">
      <c r="E89"/>
      <c r="F89"/>
      <c r="G89"/>
    </row>
    <row r="90" spans="5:7" x14ac:dyDescent="0.25">
      <c r="E90"/>
      <c r="F90"/>
      <c r="G90"/>
    </row>
    <row r="91" spans="5:7" x14ac:dyDescent="0.25">
      <c r="E91"/>
      <c r="F91"/>
      <c r="G91"/>
    </row>
    <row r="92" spans="5:7" x14ac:dyDescent="0.25">
      <c r="E92"/>
      <c r="F92"/>
      <c r="G92"/>
    </row>
  </sheetData>
  <phoneticPr fontId="6" type="noConversion"/>
  <pageMargins left="0.7" right="0.7" top="0.75" bottom="0.75" header="0.3" footer="0.3"/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261135-B910-4BD7-B3A8-A26186990E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Wellbeing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Snehal Genge</cp:lastModifiedBy>
  <dcterms:created xsi:type="dcterms:W3CDTF">2026-09-19T09:30:48Z</dcterms:created>
  <dcterms:modified xsi:type="dcterms:W3CDTF">2026-09-21T13:07:28Z</dcterms:modified>
</cp:coreProperties>
</file>