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4A1EE2EF-800E-4A35-85A0-BD511475A61C}" xr6:coauthVersionLast="47" xr6:coauthVersionMax="47" xr10:uidLastSave="{00000000-0000-0000-0000-000000000000}"/>
  <bookViews>
    <workbookView xWindow="-108" yWindow="-108" windowWidth="23256" windowHeight="12576" activeTab="1" xr2:uid="{F9677B25-886F-4DB6-B8F9-559307F7DEA1}"/>
  </bookViews>
  <sheets>
    <sheet name="Assignment_Data7 to 10" sheetId="1" r:id="rId1"/>
    <sheet name="Pivot tables" sheetId="4" r:id="rId2"/>
  </sheets>
  <definedNames>
    <definedName name="_xlnm._FilterDatabase" localSheetId="0" hidden="1">'Assignment_Data7 to 10'!$A$1:$E$101</definedName>
    <definedName name="_xlchart.v1.0" hidden="1">'Assignment_Data7 to 10'!$E$1</definedName>
    <definedName name="_xlchart.v1.1" hidden="1">'Assignment_Data7 to 10'!$E$2:$E$101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4" i="1" l="1"/>
  <c r="Q75" i="1" a="1"/>
  <c r="Q75" i="1" s="1"/>
  <c r="Q43" i="1" a="1"/>
  <c r="Q43" i="1" s="1"/>
  <c r="R66" i="1"/>
  <c r="Q66" i="1"/>
  <c r="P66" i="1"/>
  <c r="Q68" i="1"/>
  <c r="R63" i="1"/>
  <c r="Q63" i="1"/>
  <c r="Q51" i="1"/>
  <c r="Q50" i="1"/>
  <c r="Q49" i="1"/>
  <c r="Q47" i="1"/>
  <c r="Q14" i="1"/>
  <c r="Q8" i="1"/>
  <c r="S40" i="1"/>
  <c r="S41" i="1" s="1"/>
  <c r="W25" i="1"/>
  <c r="V25" i="1"/>
  <c r="U25" i="1"/>
  <c r="W23" i="1"/>
  <c r="V23" i="1"/>
  <c r="U23" i="1"/>
  <c r="W21" i="1"/>
  <c r="V21" i="1"/>
  <c r="U21" i="1"/>
  <c r="W19" i="1"/>
  <c r="V19" i="1"/>
  <c r="U19" i="1"/>
  <c r="W17" i="1"/>
  <c r="U17" i="1"/>
  <c r="Q12" i="1"/>
  <c r="Q11" i="1"/>
  <c r="Q7" i="1"/>
  <c r="Q3" i="1"/>
  <c r="Q4" i="1"/>
  <c r="Q2" i="1"/>
  <c r="Q52" i="1" l="1"/>
  <c r="S4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<sst xmlns="http://schemas.openxmlformats.org/spreadsheetml/2006/main" count="107" uniqueCount="68">
  <si>
    <t>Age</t>
  </si>
  <si>
    <t>Salary</t>
  </si>
  <si>
    <t>Purchase_Count</t>
  </si>
  <si>
    <t>Satisfaction_Score</t>
  </si>
  <si>
    <t>Visit_Frequency</t>
  </si>
  <si>
    <t>Calculate the mean, median, and mode of 'Age'.</t>
  </si>
  <si>
    <t>Find the standard deviation and variance of 'Salary'.</t>
  </si>
  <si>
    <t>Compute the skewness and kurtosis of 'Purchase_Count'.</t>
  </si>
  <si>
    <t>What is the correlation between 'Salary' and 'Satisfaction_Score'?</t>
  </si>
  <si>
    <t>Get the summary statistics (count, mean, std, min, 25%, 50%, 75%, max) for every column.</t>
  </si>
  <si>
    <t>Plot the histogram of 'Visit_Frequency' and comment on its skewness.</t>
  </si>
  <si>
    <t>Identify if 'Satisfaction_Score' has any outliers using standard deviation method.</t>
  </si>
  <si>
    <t>Calculate the coefficient of variation for 'Salary'.</t>
  </si>
  <si>
    <t>Find the interquartile range (IQR) for 'Purchase_Count'.</t>
  </si>
  <si>
    <t>Compute the Pearson correlation matrix for the entire dataset.</t>
  </si>
  <si>
    <t>Calculate the range (max - min) for the 'Age' and 'Salary' columns.</t>
  </si>
  <si>
    <t>Determine the percentile ranks for 'Purchase_Count' at 25%, 50%, and 75%.</t>
  </si>
  <si>
    <t>Find the covariance between 'Salary' and 'Visit_Frequency'.</t>
  </si>
  <si>
    <t>Check if 'Salary' follows a normal distribution using skewness and kurtosis values.</t>
  </si>
  <si>
    <t>Calculate the z-scores for 'Satisfaction_Score' and identify any data points beyond ±3.</t>
  </si>
  <si>
    <t>Create a pivot table to find the average Salary by each Category (group by Age groups if preferred).</t>
  </si>
  <si>
    <t>Use a pivot table to sum the Purchase_Count for each Satisfaction_Score value.</t>
  </si>
  <si>
    <t>Build a pivot table to show the count of records per Visit_Frequency value.</t>
  </si>
  <si>
    <t>Generate a pivot table that shows the minimum, maximum, and average Salary per Age group (e.g., 18-25, 26-35, etc.).</t>
  </si>
  <si>
    <t>Create a pivot table to display the total Purchase_Count for each distinct Salary range bucket (e.g., 25k-50k, 50k-75k, etc.).</t>
  </si>
  <si>
    <t>---------------------------------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</si>
  <si>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</si>
  <si>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</si>
  <si>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</si>
  <si>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</si>
  <si>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</si>
  <si>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</si>
  <si>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</si>
  <si>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</si>
  <si>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</si>
  <si>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</si>
  <si>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</si>
  <si>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Q1</t>
  </si>
  <si>
    <t>Q2</t>
  </si>
  <si>
    <t>Q3</t>
  </si>
  <si>
    <t>IQR</t>
  </si>
  <si>
    <t>Outliers</t>
  </si>
  <si>
    <t>Lower threshould</t>
  </si>
  <si>
    <t>Upper threshould</t>
  </si>
  <si>
    <t>SD for Salary</t>
  </si>
  <si>
    <t>Mean for Salary</t>
  </si>
  <si>
    <t>Coeff. Varience</t>
  </si>
  <si>
    <t>Correlation</t>
  </si>
  <si>
    <t>Covariance</t>
  </si>
  <si>
    <t>Data points beyond ±3.</t>
  </si>
  <si>
    <t>z-scores</t>
  </si>
  <si>
    <t>Row Labels</t>
  </si>
  <si>
    <t>18-25</t>
  </si>
  <si>
    <t>Average of Salary</t>
  </si>
  <si>
    <t>Sum of Purchase_Count</t>
  </si>
  <si>
    <t>Max of Salary</t>
  </si>
  <si>
    <t>Min of Salary2</t>
  </si>
  <si>
    <t>Count of Purchase_Count</t>
  </si>
  <si>
    <t>25000-50000</t>
  </si>
  <si>
    <t>50000-75000</t>
  </si>
  <si>
    <t>75000-100000</t>
  </si>
  <si>
    <t>100000-125000</t>
  </si>
  <si>
    <t>125000-150000</t>
  </si>
  <si>
    <t>150000-175000</t>
  </si>
  <si>
    <t>175000-2000000</t>
  </si>
  <si>
    <t>26-35</t>
  </si>
  <si>
    <t>36-50</t>
  </si>
  <si>
    <t>51-65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</si>
</sst>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9" fontId="0" fillId="0" borderId="0" xfId="0" applyNumberFormat="1"/>
    <xf numFmtId="0" fontId="0" fillId="0" borderId="10" xfId="0" applyBorder="1" applyAlignment="1">
      <alignment horizontal="left"/>
    </xf>
    <xf numFmtId="9" fontId="0" fillId="0" borderId="10" xfId="0" applyNumberFormat="1" applyBorder="1" applyAlignment="1">
      <alignment horizontal="left"/>
    </xf>
    <xf numFmtId="0" fontId="18" fillId="0" borderId="10" xfId="0" applyFont="1" applyBorder="1" applyAlignment="1">
      <alignment horizontal="left"/>
    </xf>
    <xf numFmtId="164" fontId="0" fillId="0" borderId="0" xfId="0" applyNumberFormat="1"/>
    <xf numFmtId="0" fontId="18" fillId="0" borderId="10" xfId="0" applyFont="1" applyBorder="1" applyAlignment="1">
      <alignment horizontal="center"/>
    </xf>
    <xf numFmtId="0" fontId="0" fillId="0" borderId="10" xfId="0" applyBorder="1"/>
    <xf numFmtId="165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right"/>
    </xf>
    <xf numFmtId="0" fontId="0" fillId="33" borderId="10" xfId="0" applyFill="1" applyBorder="1" applyAlignment="1">
      <alignment horizontal="right"/>
    </xf>
    <xf numFmtId="0" fontId="0" fillId="33" borderId="10" xfId="0" applyFill="1" applyBorder="1"/>
    <xf numFmtId="0" fontId="0" fillId="33" borderId="10" xfId="0" applyFill="1" applyBorder="1" applyAlignment="1">
      <alignment horizontal="left"/>
    </xf>
    <xf numFmtId="0" fontId="0" fillId="33" borderId="10" xfId="0" applyFill="1" applyBorder="1" applyAlignment="1">
      <alignment horizontal="center"/>
    </xf>
    <xf numFmtId="0" fontId="0" fillId="33" borderId="0" xfId="0" applyFill="1"/>
    <xf numFmtId="166" fontId="0" fillId="33" borderId="0" xfId="0" applyNumberFormat="1" applyFill="1"/>
    <xf numFmtId="2" fontId="0" fillId="33" borderId="10" xfId="0" applyNumberFormat="1" applyFill="1" applyBorder="1"/>
    <xf numFmtId="9" fontId="0" fillId="33" borderId="10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18" fillId="0" borderId="0" xfId="0" applyFont="1" applyAlignment="1">
      <alignment horizontal="center"/>
    </xf>
    <xf numFmtId="0" fontId="16" fillId="33" borderId="10" xfId="0" applyFont="1" applyFill="1" applyBorder="1"/>
    <xf numFmtId="0" fontId="0" fillId="0" borderId="0" xfId="0" pivotButton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colors>
    <mruColors>
      <color rgb="FF00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 'Visit_Frequency'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 'Visit_Frequency'</a:t>
          </a:r>
        </a:p>
      </cx:txPr>
    </cx:title>
    <cx:plotArea>
      <cx:plotAreaRegion>
        <cx:series layoutId="clusteredColumn" uniqueId="{00000000-97EA-4460-8FBF-A02ACB546810}">
          <cx:tx>
            <cx:txData>
              <cx:f>_xlchart.v1.0</cx:f>
              <cx:v>Visit_Frequency</cx:v>
            </cx:txData>
          </cx:tx>
          <cx:spPr>
            <a:solidFill>
              <a:srgbClr val="0099CC"/>
            </a:solidFill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15240</xdr:colOff>
      <xdr:row>26</xdr:row>
      <xdr:rowOff>22860</xdr:rowOff>
    </xdr:from>
    <xdr:to>
      <xdr:col>19</xdr:col>
      <xdr:colOff>15240</xdr:colOff>
      <xdr:row>37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7BB40A8-DD31-CCB2-B53F-B0A657B682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59240" y="4777740"/>
              <a:ext cx="4594860" cy="2141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19</xdr:col>
      <xdr:colOff>30480</xdr:colOff>
      <xdr:row>29</xdr:row>
      <xdr:rowOff>7620</xdr:rowOff>
    </xdr:from>
    <xdr:to>
      <xdr:col>23</xdr:col>
      <xdr:colOff>0</xdr:colOff>
      <xdr:row>32</xdr:row>
      <xdr:rowOff>22860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4F57B5E-5393-A1CD-2027-2C9D2C74E9C5}"/>
            </a:ext>
          </a:extLst>
        </xdr:cNvPr>
        <xdr:cNvSpPr txBox="1"/>
      </xdr:nvSpPr>
      <xdr:spPr>
        <a:xfrm>
          <a:off x="13769340" y="5326380"/>
          <a:ext cx="3124200" cy="56388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The distribution is approximately symmetric with a very slight positive (right) skew.</a:t>
          </a:r>
          <a:endParaRPr lang="en-IN" sz="1100"/>
        </a:p>
      </xdr:txBody>
    </xdr:sp>
    <xdr:clientData/>
  </xdr:twoCellAnchor>
  <xdr:twoCellAnchor>
    <xdr:from>
      <xdr:col>17</xdr:col>
      <xdr:colOff>38100</xdr:colOff>
      <xdr:row>68</xdr:row>
      <xdr:rowOff>167640</xdr:rowOff>
    </xdr:from>
    <xdr:to>
      <xdr:col>20</xdr:col>
      <xdr:colOff>777240</xdr:colOff>
      <xdr:row>70</xdr:row>
      <xdr:rowOff>312420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5B13CCF-25C9-408D-B2D6-3F5616A66D55}"/>
            </a:ext>
          </a:extLst>
        </xdr:cNvPr>
        <xdr:cNvSpPr txBox="1"/>
      </xdr:nvSpPr>
      <xdr:spPr>
        <a:xfrm>
          <a:off x="11490960" y="12603480"/>
          <a:ext cx="4168140" cy="5105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The distribution is approximately symmetric with a very slight negative(left)skew.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89.636063541664" createdVersion="8" refreshedVersion="8" minRefreshableVersion="3" recordCount="100" xr:uid="{1E043B9F-7EDD-43E4-B225-7232DF2AE55B}">
  <cacheSource type="worksheet">
    <worksheetSource ref="A1:E101" sheet="Assignment_Data7 to 10"/>
  </cacheSource>
  <cacheFields count="5">
    <cacheField name="Age" numFmtId="0">
      <sharedItems containsSemiMixedTypes="0" containsString="0" containsNumber="1" containsInteger="1" minValue="18" maxValue="64" count="43">
        <n v="56"/>
        <n v="46"/>
        <n v="32"/>
        <n v="60"/>
        <n v="25"/>
        <n v="38"/>
        <n v="36"/>
        <n v="40"/>
        <n v="28"/>
        <n v="41"/>
        <n v="53"/>
        <n v="57"/>
        <n v="20"/>
        <n v="39"/>
        <n v="19"/>
        <n v="61"/>
        <n v="47"/>
        <n v="55"/>
        <n v="50"/>
        <n v="29"/>
        <n v="42"/>
        <n v="44"/>
        <n v="59"/>
        <n v="45"/>
        <n v="33"/>
        <n v="64"/>
        <n v="54"/>
        <n v="24"/>
        <n v="26"/>
        <n v="35"/>
        <n v="21"/>
        <n v="31"/>
        <n v="43"/>
        <n v="37"/>
        <n v="52"/>
        <n v="34"/>
        <n v="23"/>
        <n v="51"/>
        <n v="27"/>
        <n v="48"/>
        <n v="62"/>
        <n v="58"/>
        <n v="18"/>
      </sharedItems>
      <fieldGroup base="0">
        <rangePr startNum="18" endNum="64" groupInterval="15"/>
        <groupItems count="6">
          <s v="&lt;18"/>
          <s v="18-32"/>
          <s v="33-47"/>
          <s v="48-62"/>
          <s v="63-77"/>
          <s v="&gt;78"/>
        </groupItems>
      </fieldGroup>
    </cacheField>
    <cacheField name="Salary" numFmtId="0">
      <sharedItems containsSemiMixedTypes="0" containsString="0" containsNumber="1" containsInteger="1" minValue="27693" maxValue="179736" count="100">
        <n v="158767"/>
        <n v="149375"/>
        <n v="161330"/>
        <n v="64504"/>
        <n v="38986"/>
        <n v="86858"/>
        <n v="154312"/>
        <n v="37666"/>
        <n v="63660"/>
        <n v="159633"/>
        <n v="51854"/>
        <n v="89505"/>
        <n v="129488"/>
        <n v="47662"/>
        <n v="33392"/>
        <n v="55535"/>
        <n v="138569"/>
        <n v="77256"/>
        <n v="114135"/>
        <n v="152478"/>
        <n v="60222"/>
        <n v="102373"/>
        <n v="148684"/>
        <n v="35965"/>
        <n v="49538"/>
        <n v="133066"/>
        <n v="138252"/>
        <n v="164182"/>
        <n v="123806"/>
        <n v="162982"/>
        <n v="135989"/>
        <n v="115982"/>
        <n v="146626"/>
        <n v="144176"/>
        <n v="156278"/>
        <n v="147409"/>
        <n v="48419"/>
        <n v="75015"/>
        <n v="147096"/>
        <n v="132059"/>
        <n v="135687"/>
        <n v="112939"/>
        <n v="174213"/>
        <n v="130878"/>
        <n v="87623"/>
        <n v="100450"/>
        <n v="118426"/>
        <n v="142845"/>
        <n v="178371"/>
        <n v="68585"/>
        <n v="134225"/>
        <n v="89044"/>
        <n v="134556"/>
        <n v="27693"/>
        <n v="120259"/>
        <n v="50939"/>
        <n v="177906"/>
        <n v="43047"/>
        <n v="51105"/>
        <n v="100766"/>
        <n v="171779"/>
        <n v="178048"/>
        <n v="69262"/>
        <n v="150117"/>
        <n v="48776"/>
        <n v="153376"/>
        <n v="162848"/>
        <n v="117787"/>
        <n v="152948"/>
        <n v="80016"/>
        <n v="165546"/>
        <n v="46959"/>
        <n v="161602"/>
        <n v="144101"/>
        <n v="28748"/>
        <n v="38545"/>
        <n v="152659"/>
        <n v="98530"/>
        <n v="118557"/>
        <n v="86087"/>
        <n v="93840"/>
        <n v="143451"/>
        <n v="76005"/>
        <n v="64353"/>
        <n v="77733"/>
        <n v="90318"/>
        <n v="179736"/>
        <n v="92172"/>
        <n v="118264"/>
        <n v="51736"/>
        <n v="137859"/>
        <n v="137181"/>
        <n v="156926"/>
        <n v="115084"/>
        <n v="32392"/>
        <n v="80680"/>
        <n v="75859"/>
        <n v="150657"/>
        <n v="95467"/>
        <n v="123506"/>
      </sharedItems>
      <fieldGroup base="1">
        <rangePr autoStart="0" startNum="25000" endNum="179736" groupInterval="25000"/>
        <groupItems count="9">
          <s v="&lt;25000"/>
          <s v="25000-49999"/>
          <s v="50000-74999"/>
          <s v="75000-99999"/>
          <s v="100000-124999"/>
          <s v="125000-149999"/>
          <s v="150000-174999"/>
          <s v="175000-199999"/>
          <s v="&gt;200000"/>
        </groupItems>
      </fieldGroup>
    </cacheField>
    <cacheField name="Purchase_Count" numFmtId="0">
      <sharedItems containsSemiMixedTypes="0" containsString="0" containsNumber="1" containsInteger="1" minValue="1" maxValue="49"/>
    </cacheField>
    <cacheField name="Satisfaction_Score" numFmtId="0">
      <sharedItems containsSemiMixedTypes="0" containsString="0" containsNumber="1" minValue="1.0618264661154599" maxValue="4.9602154004170496" count="100">
        <n v="1.9759585735163301"/>
        <n v="4.8920422190097801"/>
        <n v="2.5723908986670398"/>
        <n v="4.5681862207084496"/>
        <n v="3.5245545039890498"/>
        <n v="4.1792452141665901"/>
        <n v="3.01054837242076"/>
        <n v="3.3076155385054302"/>
        <n v="2.9700707752754498"/>
        <n v="1.78097195119217"/>
        <n v="3.88980846104602"/>
        <n v="2.1230894497634201"/>
        <n v="1.09726386572581"/>
        <n v="3.5818891836286699"/>
        <n v="1.70844271762819"/>
        <n v="4.7618343374116501"/>
        <n v="4.8157143080103397"/>
        <n v="4.6594575608817896"/>
        <n v="2.48063480102177"/>
        <n v="1.0618264661154599"/>
        <n v="4.7132742503509002"/>
        <n v="2.7127365932692502"/>
        <n v="4.8666192761746698"/>
        <n v="4.8544799083570096"/>
        <n v="4.4120378218694398"/>
        <n v="2.1777955682783401"/>
        <n v="2.5403909144077002"/>
        <n v="4.4045466860674196"/>
        <n v="2.2676880206251102"/>
        <n v="1.67797098674437"/>
        <n v="3.2272050498334002"/>
        <n v="4.7446190966431203"/>
        <n v="3.7841191866998898"/>
        <n v="3.2802446803574599"/>
        <n v="1.3887059750830699"/>
        <n v="3.4600289067966701"/>
        <n v="4.9602154004170496"/>
        <n v="1.5603360609460899"/>
        <n v="3.0733186094549398"/>
        <n v="4.5094922877118204"/>
        <n v="3.9630744710168102"/>
        <n v="3.7880629639810701"/>
        <n v="3.80993633594843"/>
        <n v="2.4379646048790198"/>
        <n v="2.1743673770579699"/>
        <n v="4.23744462191405"/>
        <n v="4.2404535787167204"/>
        <n v="4.4682892743204103"/>
        <n v="4.6529622102258799"/>
        <n v="3.0453695954437499"/>
        <n v="3.00606517874879"/>
        <n v="4.1931807158670997"/>
        <n v="3.5998557231110602"/>
        <n v="3.8078675090308098"/>
        <n v="4.1831706777443998"/>
        <n v="4.5600213672702603"/>
        <n v="2.3519806274061401"/>
        <n v="2.5023318105597698"/>
        <n v="1.37592775936347"/>
        <n v="3.3131205639846901"/>
        <n v="1.1437690951869599"/>
        <n v="2.8623920725298402"/>
        <n v="3.1705785388302998"/>
        <n v="2.1461650085131301"/>
        <n v="3.3633330422760399"/>
        <n v="1.1220009997561899"/>
        <n v="1.1493927549968499"/>
        <n v="4.2904022426386303"/>
        <n v="2.4407625656450498"/>
        <n v="1.50824205060753"/>
        <n v="3.0889730402192099"/>
        <n v="4.0799742123944398"/>
        <n v="1.86328410998737"/>
        <n v="3.4915619032760001"/>
        <n v="1.34138985997507"/>
        <n v="1.2067268846744299"/>
        <n v="3.1254185262725902"/>
        <n v="3.1625404864404199"/>
        <n v="3.54971960599282"/>
        <n v="3.90436533489064"/>
        <n v="4.90340831785013"/>
        <n v="3.0652013932047799"/>
        <n v="2.2918258917649799"/>
        <n v="4.1807447790748098"/>
        <n v="2.0833290050482902"/>
        <n v="2.75588568282254"/>
        <n v="1.3138255253690601"/>
        <n v="1.10140297366183"/>
        <n v="4.8505936587117002"/>
        <n v="4.3439204820488202"/>
        <n v="3.7838968243747901"/>
        <n v="2.6358117776570702"/>
        <n v="1.69317728028338"/>
        <n v="1.62574817068434"/>
        <n v="2.00097159265838"/>
        <n v="3.1969066588244801"/>
        <n v="3.85838369080024"/>
        <n v="3.6407895068709202"/>
        <n v="2.11973558778377"/>
        <n v="4.8194611226527702"/>
      </sharedItems>
    </cacheField>
    <cacheField name="Visit_Frequency" numFmtId="0">
      <sharedItems containsSemiMixedTypes="0" containsString="0" containsNumber="1" containsInteger="1" minValue="1" maxValue="19" count="18">
        <n v="7"/>
        <n v="5"/>
        <n v="3"/>
        <n v="12"/>
        <n v="16"/>
        <n v="19"/>
        <n v="14"/>
        <n v="15"/>
        <n v="17"/>
        <n v="4"/>
        <n v="1"/>
        <n v="10"/>
        <n v="2"/>
        <n v="13"/>
        <n v="18"/>
        <n v="11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17"/>
    <x v="0"/>
    <x v="0"/>
  </r>
  <r>
    <x v="1"/>
    <x v="1"/>
    <n v="38"/>
    <x v="1"/>
    <x v="1"/>
  </r>
  <r>
    <x v="2"/>
    <x v="2"/>
    <n v="24"/>
    <x v="2"/>
    <x v="2"/>
  </r>
  <r>
    <x v="3"/>
    <x v="3"/>
    <n v="5"/>
    <x v="3"/>
    <x v="3"/>
  </r>
  <r>
    <x v="4"/>
    <x v="4"/>
    <n v="34"/>
    <x v="4"/>
    <x v="4"/>
  </r>
  <r>
    <x v="5"/>
    <x v="5"/>
    <n v="6"/>
    <x v="5"/>
    <x v="5"/>
  </r>
  <r>
    <x v="0"/>
    <x v="6"/>
    <n v="22"/>
    <x v="6"/>
    <x v="1"/>
  </r>
  <r>
    <x v="6"/>
    <x v="7"/>
    <n v="11"/>
    <x v="7"/>
    <x v="6"/>
  </r>
  <r>
    <x v="7"/>
    <x v="8"/>
    <n v="48"/>
    <x v="8"/>
    <x v="1"/>
  </r>
  <r>
    <x v="8"/>
    <x v="9"/>
    <n v="16"/>
    <x v="9"/>
    <x v="7"/>
  </r>
  <r>
    <x v="8"/>
    <x v="10"/>
    <n v="33"/>
    <x v="10"/>
    <x v="8"/>
  </r>
  <r>
    <x v="9"/>
    <x v="11"/>
    <n v="9"/>
    <x v="11"/>
    <x v="6"/>
  </r>
  <r>
    <x v="10"/>
    <x v="12"/>
    <n v="6"/>
    <x v="12"/>
    <x v="1"/>
  </r>
  <r>
    <x v="11"/>
    <x v="13"/>
    <n v="16"/>
    <x v="13"/>
    <x v="3"/>
  </r>
  <r>
    <x v="9"/>
    <x v="14"/>
    <n v="29"/>
    <x v="14"/>
    <x v="4"/>
  </r>
  <r>
    <x v="12"/>
    <x v="15"/>
    <n v="3"/>
    <x v="15"/>
    <x v="4"/>
  </r>
  <r>
    <x v="13"/>
    <x v="16"/>
    <n v="20"/>
    <x v="16"/>
    <x v="0"/>
  </r>
  <r>
    <x v="14"/>
    <x v="17"/>
    <n v="36"/>
    <x v="17"/>
    <x v="9"/>
  </r>
  <r>
    <x v="9"/>
    <x v="18"/>
    <n v="19"/>
    <x v="18"/>
    <x v="10"/>
  </r>
  <r>
    <x v="15"/>
    <x v="19"/>
    <n v="26"/>
    <x v="19"/>
    <x v="1"/>
  </r>
  <r>
    <x v="16"/>
    <x v="20"/>
    <n v="3"/>
    <x v="20"/>
    <x v="11"/>
  </r>
  <r>
    <x v="17"/>
    <x v="21"/>
    <n v="19"/>
    <x v="21"/>
    <x v="1"/>
  </r>
  <r>
    <x v="14"/>
    <x v="22"/>
    <n v="20"/>
    <x v="22"/>
    <x v="9"/>
  </r>
  <r>
    <x v="5"/>
    <x v="23"/>
    <n v="32"/>
    <x v="23"/>
    <x v="12"/>
  </r>
  <r>
    <x v="18"/>
    <x v="24"/>
    <n v="7"/>
    <x v="24"/>
    <x v="11"/>
  </r>
  <r>
    <x v="19"/>
    <x v="25"/>
    <n v="41"/>
    <x v="25"/>
    <x v="5"/>
  </r>
  <r>
    <x v="13"/>
    <x v="26"/>
    <n v="33"/>
    <x v="26"/>
    <x v="10"/>
  </r>
  <r>
    <x v="15"/>
    <x v="27"/>
    <n v="40"/>
    <x v="27"/>
    <x v="1"/>
  </r>
  <r>
    <x v="20"/>
    <x v="28"/>
    <n v="39"/>
    <x v="28"/>
    <x v="13"/>
  </r>
  <r>
    <x v="21"/>
    <x v="29"/>
    <n v="18"/>
    <x v="29"/>
    <x v="9"/>
  </r>
  <r>
    <x v="22"/>
    <x v="30"/>
    <n v="40"/>
    <x v="30"/>
    <x v="4"/>
  </r>
  <r>
    <x v="23"/>
    <x v="31"/>
    <n v="1"/>
    <x v="31"/>
    <x v="4"/>
  </r>
  <r>
    <x v="24"/>
    <x v="32"/>
    <n v="11"/>
    <x v="32"/>
    <x v="12"/>
  </r>
  <r>
    <x v="2"/>
    <x v="33"/>
    <n v="28"/>
    <x v="33"/>
    <x v="8"/>
  </r>
  <r>
    <x v="25"/>
    <x v="34"/>
    <n v="25"/>
    <x v="34"/>
    <x v="3"/>
  </r>
  <r>
    <x v="15"/>
    <x v="35"/>
    <n v="23"/>
    <x v="35"/>
    <x v="14"/>
  </r>
  <r>
    <x v="12"/>
    <x v="36"/>
    <n v="31"/>
    <x v="36"/>
    <x v="2"/>
  </r>
  <r>
    <x v="26"/>
    <x v="37"/>
    <n v="30"/>
    <x v="37"/>
    <x v="10"/>
  </r>
  <r>
    <x v="27"/>
    <x v="38"/>
    <n v="42"/>
    <x v="38"/>
    <x v="10"/>
  </r>
  <r>
    <x v="5"/>
    <x v="39"/>
    <n v="35"/>
    <x v="39"/>
    <x v="5"/>
  </r>
  <r>
    <x v="28"/>
    <x v="40"/>
    <n v="7"/>
    <x v="40"/>
    <x v="15"/>
  </r>
  <r>
    <x v="0"/>
    <x v="41"/>
    <n v="16"/>
    <x v="41"/>
    <x v="1"/>
  </r>
  <r>
    <x v="29"/>
    <x v="42"/>
    <n v="26"/>
    <x v="42"/>
    <x v="3"/>
  </r>
  <r>
    <x v="30"/>
    <x v="43"/>
    <n v="48"/>
    <x v="43"/>
    <x v="2"/>
  </r>
  <r>
    <x v="20"/>
    <x v="44"/>
    <n v="49"/>
    <x v="44"/>
    <x v="10"/>
  </r>
  <r>
    <x v="31"/>
    <x v="45"/>
    <n v="2"/>
    <x v="45"/>
    <x v="10"/>
  </r>
  <r>
    <x v="28"/>
    <x v="46"/>
    <n v="1"/>
    <x v="46"/>
    <x v="16"/>
  </r>
  <r>
    <x v="32"/>
    <x v="47"/>
    <n v="48"/>
    <x v="47"/>
    <x v="11"/>
  </r>
  <r>
    <x v="14"/>
    <x v="48"/>
    <n v="12"/>
    <x v="48"/>
    <x v="15"/>
  </r>
  <r>
    <x v="33"/>
    <x v="49"/>
    <n v="5"/>
    <x v="49"/>
    <x v="3"/>
  </r>
  <r>
    <x v="23"/>
    <x v="50"/>
    <n v="37"/>
    <x v="50"/>
    <x v="13"/>
  </r>
  <r>
    <x v="25"/>
    <x v="51"/>
    <n v="32"/>
    <x v="51"/>
    <x v="3"/>
  </r>
  <r>
    <x v="27"/>
    <x v="52"/>
    <n v="9"/>
    <x v="52"/>
    <x v="6"/>
  </r>
  <r>
    <x v="15"/>
    <x v="53"/>
    <n v="41"/>
    <x v="53"/>
    <x v="12"/>
  </r>
  <r>
    <x v="4"/>
    <x v="54"/>
    <n v="35"/>
    <x v="54"/>
    <x v="5"/>
  </r>
  <r>
    <x v="25"/>
    <x v="55"/>
    <n v="19"/>
    <x v="55"/>
    <x v="14"/>
  </r>
  <r>
    <x v="34"/>
    <x v="56"/>
    <n v="48"/>
    <x v="56"/>
    <x v="2"/>
  </r>
  <r>
    <x v="31"/>
    <x v="57"/>
    <n v="16"/>
    <x v="57"/>
    <x v="8"/>
  </r>
  <r>
    <x v="35"/>
    <x v="58"/>
    <n v="3"/>
    <x v="58"/>
    <x v="16"/>
  </r>
  <r>
    <x v="10"/>
    <x v="59"/>
    <n v="20"/>
    <x v="59"/>
    <x v="11"/>
  </r>
  <r>
    <x v="11"/>
    <x v="60"/>
    <n v="24"/>
    <x v="60"/>
    <x v="12"/>
  </r>
  <r>
    <x v="30"/>
    <x v="61"/>
    <n v="33"/>
    <x v="61"/>
    <x v="5"/>
  </r>
  <r>
    <x v="14"/>
    <x v="62"/>
    <n v="24"/>
    <x v="62"/>
    <x v="17"/>
  </r>
  <r>
    <x v="36"/>
    <x v="63"/>
    <n v="11"/>
    <x v="63"/>
    <x v="0"/>
  </r>
  <r>
    <x v="22"/>
    <x v="64"/>
    <n v="49"/>
    <x v="64"/>
    <x v="9"/>
  </r>
  <r>
    <x v="30"/>
    <x v="65"/>
    <n v="8"/>
    <x v="65"/>
    <x v="14"/>
  </r>
  <r>
    <x v="1"/>
    <x v="66"/>
    <n v="36"/>
    <x v="66"/>
    <x v="13"/>
  </r>
  <r>
    <x v="29"/>
    <x v="67"/>
    <n v="38"/>
    <x v="67"/>
    <x v="15"/>
  </r>
  <r>
    <x v="32"/>
    <x v="68"/>
    <n v="40"/>
    <x v="68"/>
    <x v="9"/>
  </r>
  <r>
    <x v="15"/>
    <x v="69"/>
    <n v="20"/>
    <x v="69"/>
    <x v="9"/>
  </r>
  <r>
    <x v="37"/>
    <x v="70"/>
    <n v="35"/>
    <x v="70"/>
    <x v="11"/>
  </r>
  <r>
    <x v="38"/>
    <x v="71"/>
    <n v="48"/>
    <x v="71"/>
    <x v="1"/>
  </r>
  <r>
    <x v="10"/>
    <x v="72"/>
    <n v="25"/>
    <x v="72"/>
    <x v="17"/>
  </r>
  <r>
    <x v="31"/>
    <x v="73"/>
    <n v="35"/>
    <x v="73"/>
    <x v="2"/>
  </r>
  <r>
    <x v="39"/>
    <x v="74"/>
    <n v="25"/>
    <x v="74"/>
    <x v="8"/>
  </r>
  <r>
    <x v="2"/>
    <x v="75"/>
    <n v="29"/>
    <x v="75"/>
    <x v="2"/>
  </r>
  <r>
    <x v="4"/>
    <x v="76"/>
    <n v="18"/>
    <x v="76"/>
    <x v="4"/>
  </r>
  <r>
    <x v="31"/>
    <x v="77"/>
    <n v="46"/>
    <x v="77"/>
    <x v="9"/>
  </r>
  <r>
    <x v="7"/>
    <x v="78"/>
    <n v="18"/>
    <x v="78"/>
    <x v="14"/>
  </r>
  <r>
    <x v="11"/>
    <x v="79"/>
    <n v="2"/>
    <x v="79"/>
    <x v="8"/>
  </r>
  <r>
    <x v="5"/>
    <x v="80"/>
    <n v="35"/>
    <x v="80"/>
    <x v="0"/>
  </r>
  <r>
    <x v="24"/>
    <x v="81"/>
    <n v="16"/>
    <x v="81"/>
    <x v="1"/>
  </r>
  <r>
    <x v="40"/>
    <x v="82"/>
    <n v="41"/>
    <x v="82"/>
    <x v="3"/>
  </r>
  <r>
    <x v="29"/>
    <x v="83"/>
    <n v="36"/>
    <x v="83"/>
    <x v="8"/>
  </r>
  <r>
    <x v="25"/>
    <x v="84"/>
    <n v="33"/>
    <x v="84"/>
    <x v="13"/>
  </r>
  <r>
    <x v="9"/>
    <x v="85"/>
    <n v="4"/>
    <x v="85"/>
    <x v="2"/>
  </r>
  <r>
    <x v="32"/>
    <x v="86"/>
    <n v="33"/>
    <x v="86"/>
    <x v="17"/>
  </r>
  <r>
    <x v="20"/>
    <x v="87"/>
    <n v="14"/>
    <x v="87"/>
    <x v="8"/>
  </r>
  <r>
    <x v="40"/>
    <x v="88"/>
    <n v="21"/>
    <x v="88"/>
    <x v="8"/>
  </r>
  <r>
    <x v="41"/>
    <x v="89"/>
    <n v="48"/>
    <x v="89"/>
    <x v="4"/>
  </r>
  <r>
    <x v="1"/>
    <x v="90"/>
    <n v="20"/>
    <x v="90"/>
    <x v="13"/>
  </r>
  <r>
    <x v="2"/>
    <x v="91"/>
    <n v="8"/>
    <x v="91"/>
    <x v="5"/>
  </r>
  <r>
    <x v="40"/>
    <x v="92"/>
    <n v="7"/>
    <x v="92"/>
    <x v="8"/>
  </r>
  <r>
    <x v="42"/>
    <x v="93"/>
    <n v="3"/>
    <x v="93"/>
    <x v="9"/>
  </r>
  <r>
    <x v="20"/>
    <x v="94"/>
    <n v="17"/>
    <x v="94"/>
    <x v="3"/>
  </r>
  <r>
    <x v="27"/>
    <x v="95"/>
    <n v="33"/>
    <x v="95"/>
    <x v="17"/>
  </r>
  <r>
    <x v="28"/>
    <x v="96"/>
    <n v="48"/>
    <x v="96"/>
    <x v="5"/>
  </r>
  <r>
    <x v="9"/>
    <x v="97"/>
    <n v="12"/>
    <x v="97"/>
    <x v="3"/>
  </r>
  <r>
    <x v="42"/>
    <x v="98"/>
    <n v="22"/>
    <x v="98"/>
    <x v="17"/>
  </r>
  <r>
    <x v="15"/>
    <x v="99"/>
    <n v="22"/>
    <x v="9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7B797-524B-486D-BE50-69D5201CE950}" name="PivotTable12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>
  <location ref="I2:L6" firstHeaderRow="0" firstDataRow="1" firstDataCol="1"/>
  <pivotFields count="5">
    <pivotField axis="axisRow" showAll="0">
      <items count="7">
        <item x="0"/>
        <item n="18-25" x="1"/>
        <item n="26-35" x="2"/>
        <item n="36-50" x="3"/>
        <item n="51-65" x="4"/>
        <item x="5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</pivotFields>
  <rowFields count="1">
    <field x="0"/>
  </rowFields>
  <rowItems count="4">
    <i>
      <x v="1"/>
    </i>
    <i>
      <x v="2"/>
    </i>
    <i>
      <x v="3"/>
    </i>
    <i>
      <x v="4"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Salary" fld="1" subtotal="average" baseField="0" baseItem="1" numFmtId="2"/>
    <dataField name="Max of Salary" fld="1" subtotal="max" baseField="0" baseItem="1"/>
    <dataField name="Min of Salary2" fld="1" subtotal="min" baseField="0" baseItem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AE2A2-0467-4D3D-A7E7-B9239874B2AD}" name="PivotTable11" cacheId="0" applyNumberFormats="0" applyBorderFormats="0" applyFontFormats="0" applyPatternFormats="0" applyAlignmentFormats="0" applyWidthHeightFormats="1" dataCaption="Values" updatedVersion="8" minRefreshableVersion="3" rowGrandTotals="0" itemPrintTitles="1" createdVersion="8" indent="0" outline="1" outlineData="1" multipleFieldFilters="0">
  <location ref="A2:B6" firstHeaderRow="1" firstDataRow="1" firstDataCol="1"/>
  <pivotFields count="5">
    <pivotField axis="axisRow" showAll="0">
      <items count="7">
        <item x="0"/>
        <item n="18-25" x="1"/>
        <item n="26-35" x="2"/>
        <item n="36-50" x="3"/>
        <item n="51-65" x="4"/>
        <item x="5"/>
        <item t="default"/>
      </items>
    </pivotField>
    <pivotField dataFiel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</pivotFields>
  <rowFields count="1">
    <field x="0"/>
  </rowFields>
  <rowItems count="4">
    <i>
      <x v="1"/>
    </i>
    <i>
      <x v="2"/>
    </i>
    <i>
      <x v="3"/>
    </i>
    <i>
      <x v="4"/>
    </i>
  </rowItems>
  <colItems count="1">
    <i/>
  </colItems>
  <dataFields count="1">
    <dataField name="Average of Salary" fld="1" subtotal="average" baseField="0" baseItem="1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554E20-170A-46C3-968D-2E05A13E7355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I33:J40" firstHeaderRow="1" firstDataRow="1" firstDataCol="1"/>
  <pivotFields count="5">
    <pivotField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10">
        <item x="0"/>
        <item n="25000-50000" x="1"/>
        <item n="50000-75000" x="2"/>
        <item n="75000-100000" x="3"/>
        <item n="100000-125000" x="4"/>
        <item n="125000-150000" x="5"/>
        <item n="150000-175000" x="6"/>
        <item n="175000-2000000" x="7"/>
        <item x="8"/>
        <item t="default"/>
      </items>
    </pivotField>
    <pivotField dataField="1" showAll="0"/>
    <pivotField showAll="0"/>
    <pivotField showAl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D5D926-6AF2-4900-9EAE-6EE98D51AC17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I12:J30" firstHeaderRow="1" firstDataRow="1" firstDataCol="1"/>
  <pivotFields count="5"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showAll="0"/>
    <pivotField axis="axisRow" showAll="0">
      <items count="19">
        <item x="10"/>
        <item x="12"/>
        <item x="2"/>
        <item x="9"/>
        <item x="1"/>
        <item x="0"/>
        <item x="16"/>
        <item x="17"/>
        <item x="11"/>
        <item x="15"/>
        <item x="3"/>
        <item x="13"/>
        <item x="6"/>
        <item x="7"/>
        <item x="4"/>
        <item x="8"/>
        <item x="14"/>
        <item x="5"/>
        <item t="default"/>
      </items>
    </pivotField>
  </pivotFields>
  <rowFields count="1">
    <field x="4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Items count="1">
    <i/>
  </colItems>
  <dataFields count="1">
    <dataField name="Count of Purchase_Count" fld="2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0C714-7A8D-4717-A6FD-46B9CDDFF187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2:B112" firstHeaderRow="1" firstDataRow="1" firstDataCol="1"/>
  <pivotFields count="5"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dataField="1" showAll="0"/>
    <pivotField axis="axisRow" showAll="0">
      <items count="101">
        <item x="19"/>
        <item x="12"/>
        <item x="87"/>
        <item x="65"/>
        <item x="60"/>
        <item x="66"/>
        <item x="75"/>
        <item x="86"/>
        <item x="74"/>
        <item x="58"/>
        <item x="34"/>
        <item x="69"/>
        <item x="37"/>
        <item x="93"/>
        <item x="29"/>
        <item x="92"/>
        <item x="14"/>
        <item x="9"/>
        <item x="72"/>
        <item x="0"/>
        <item x="94"/>
        <item x="84"/>
        <item x="98"/>
        <item x="11"/>
        <item x="63"/>
        <item x="44"/>
        <item x="25"/>
        <item x="28"/>
        <item x="82"/>
        <item x="56"/>
        <item x="43"/>
        <item x="68"/>
        <item x="18"/>
        <item x="57"/>
        <item x="26"/>
        <item x="2"/>
        <item x="91"/>
        <item x="21"/>
        <item x="85"/>
        <item x="61"/>
        <item x="8"/>
        <item x="50"/>
        <item x="6"/>
        <item x="49"/>
        <item x="81"/>
        <item x="38"/>
        <item x="70"/>
        <item x="76"/>
        <item x="77"/>
        <item x="62"/>
        <item x="95"/>
        <item x="30"/>
        <item x="33"/>
        <item x="7"/>
        <item x="59"/>
        <item x="64"/>
        <item x="35"/>
        <item x="73"/>
        <item x="4"/>
        <item x="78"/>
        <item x="13"/>
        <item x="52"/>
        <item x="97"/>
        <item x="90"/>
        <item x="32"/>
        <item x="41"/>
        <item x="53"/>
        <item x="42"/>
        <item x="96"/>
        <item x="10"/>
        <item x="79"/>
        <item x="40"/>
        <item x="71"/>
        <item x="5"/>
        <item x="83"/>
        <item x="54"/>
        <item x="51"/>
        <item x="45"/>
        <item x="46"/>
        <item x="67"/>
        <item x="89"/>
        <item x="27"/>
        <item x="24"/>
        <item x="47"/>
        <item x="39"/>
        <item x="55"/>
        <item x="3"/>
        <item x="48"/>
        <item x="17"/>
        <item x="20"/>
        <item x="31"/>
        <item x="15"/>
        <item x="16"/>
        <item x="99"/>
        <item x="88"/>
        <item x="23"/>
        <item x="22"/>
        <item x="1"/>
        <item x="80"/>
        <item x="36"/>
        <item t="default"/>
      </items>
    </pivotField>
    <pivotField showAll="0"/>
  </pivotFields>
  <rowFields count="1">
    <field x="3"/>
  </rowFields>
  <rowItems count="10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</rowItems>
  <colItems count="1">
    <i/>
  </colItems>
  <dataFields count="1">
    <dataField name="Sum of Purchase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723A2-9039-482B-983D-339B6F4C950A}">
  <dimension ref="A1:X133"/>
  <sheetViews>
    <sheetView topLeftCell="A28" workbookViewId="0">
      <selection activeCell="G21" sqref="G21"/>
    </sheetView>
  </sheetViews>
  <sheetFormatPr defaultRowHeight="14.4" x14ac:dyDescent="0.3"/>
  <cols>
    <col min="13" max="13" width="8.88671875" customWidth="1"/>
    <col min="16" max="16" width="15" customWidth="1"/>
    <col min="17" max="17" width="18.6640625" customWidth="1"/>
    <col min="18" max="18" width="16.6640625" bestFit="1" customWidth="1"/>
    <col min="19" max="20" width="16.6640625" customWidth="1"/>
    <col min="21" max="21" width="11.5546875" bestFit="1" customWidth="1"/>
  </cols>
  <sheetData>
    <row r="1" spans="1:23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G1" t="s">
        <v>5</v>
      </c>
      <c r="P1" s="6" t="s">
        <v>0</v>
      </c>
      <c r="Q1" s="6"/>
    </row>
    <row r="2" spans="1:23" x14ac:dyDescent="0.3">
      <c r="A2" s="7">
        <v>56</v>
      </c>
      <c r="B2" s="7">
        <v>158767</v>
      </c>
      <c r="C2" s="7">
        <v>17</v>
      </c>
      <c r="D2" s="7">
        <v>1.9759585735163301</v>
      </c>
      <c r="E2" s="7">
        <v>7</v>
      </c>
      <c r="P2" s="12" t="s">
        <v>26</v>
      </c>
      <c r="Q2" s="12">
        <f>AVERAGE($A$1:$A$101)</f>
        <v>40.880000000000003</v>
      </c>
    </row>
    <row r="3" spans="1:23" x14ac:dyDescent="0.3">
      <c r="A3" s="7">
        <v>46</v>
      </c>
      <c r="B3" s="7">
        <v>149375</v>
      </c>
      <c r="C3" s="7">
        <v>38</v>
      </c>
      <c r="D3" s="7">
        <v>4.8920422190097801</v>
      </c>
      <c r="E3" s="7">
        <v>5</v>
      </c>
      <c r="P3" s="12" t="s">
        <v>27</v>
      </c>
      <c r="Q3" s="12">
        <f>MEDIAN($A$1:$A$101)</f>
        <v>41</v>
      </c>
    </row>
    <row r="4" spans="1:23" x14ac:dyDescent="0.3">
      <c r="A4" s="7">
        <v>32</v>
      </c>
      <c r="B4" s="7">
        <v>161330</v>
      </c>
      <c r="C4" s="7">
        <v>24</v>
      </c>
      <c r="D4" s="7">
        <v>2.5723908986670398</v>
      </c>
      <c r="E4" s="7">
        <v>3</v>
      </c>
      <c r="P4" s="12" t="s">
        <v>28</v>
      </c>
      <c r="Q4" s="12">
        <f>_xlfn.MODE.SNGL($A$1:$A$101)</f>
        <v>61</v>
      </c>
    </row>
    <row r="5" spans="1:23" x14ac:dyDescent="0.3">
      <c r="A5" s="7">
        <v>60</v>
      </c>
      <c r="B5" s="7">
        <v>64504</v>
      </c>
      <c r="C5" s="7">
        <v>5</v>
      </c>
      <c r="D5" s="7">
        <v>4.5681862207084496</v>
      </c>
      <c r="E5" s="7">
        <v>12</v>
      </c>
    </row>
    <row r="6" spans="1:23" x14ac:dyDescent="0.3">
      <c r="A6" s="7">
        <v>25</v>
      </c>
      <c r="B6" s="7">
        <v>38986</v>
      </c>
      <c r="C6" s="7">
        <v>34</v>
      </c>
      <c r="D6" s="7">
        <v>3.5245545039890498</v>
      </c>
      <c r="E6" s="7">
        <v>16</v>
      </c>
      <c r="G6" t="s">
        <v>6</v>
      </c>
      <c r="P6" s="6" t="s">
        <v>1</v>
      </c>
      <c r="Q6" s="6"/>
    </row>
    <row r="7" spans="1:23" x14ac:dyDescent="0.3">
      <c r="A7" s="7">
        <v>38</v>
      </c>
      <c r="B7" s="7">
        <v>86858</v>
      </c>
      <c r="C7" s="7">
        <v>6</v>
      </c>
      <c r="D7" s="7">
        <v>4.1792452141665901</v>
      </c>
      <c r="E7" s="7">
        <v>19</v>
      </c>
      <c r="P7" s="12" t="s">
        <v>29</v>
      </c>
      <c r="Q7" s="12">
        <f>_xlfn.STDEV.S($B$1:$B$101)</f>
        <v>44418.086324573604</v>
      </c>
    </row>
    <row r="8" spans="1:23" x14ac:dyDescent="0.3">
      <c r="A8" s="7">
        <v>56</v>
      </c>
      <c r="B8" s="7">
        <v>154312</v>
      </c>
      <c r="C8" s="7">
        <v>22</v>
      </c>
      <c r="D8" s="7">
        <v>3.01054837242076</v>
      </c>
      <c r="E8" s="7">
        <v>5</v>
      </c>
      <c r="P8" s="12" t="s">
        <v>30</v>
      </c>
      <c r="Q8" s="17">
        <f>_xlfn.VAR.S($B$1:$B$101)</f>
        <v>1972966392.7372727</v>
      </c>
    </row>
    <row r="9" spans="1:23" x14ac:dyDescent="0.3">
      <c r="A9" s="7">
        <v>36</v>
      </c>
      <c r="B9" s="7">
        <v>37666</v>
      </c>
      <c r="C9" s="7">
        <v>11</v>
      </c>
      <c r="D9" s="7">
        <v>3.3076155385054302</v>
      </c>
      <c r="E9" s="7">
        <v>14</v>
      </c>
    </row>
    <row r="10" spans="1:23" x14ac:dyDescent="0.3">
      <c r="A10" s="7">
        <v>40</v>
      </c>
      <c r="B10" s="7">
        <v>63660</v>
      </c>
      <c r="C10" s="7">
        <v>48</v>
      </c>
      <c r="D10" s="7">
        <v>2.9700707752754498</v>
      </c>
      <c r="E10" s="7">
        <v>5</v>
      </c>
      <c r="G10" t="s">
        <v>7</v>
      </c>
      <c r="P10" s="6" t="s">
        <v>2</v>
      </c>
      <c r="Q10" s="6"/>
    </row>
    <row r="11" spans="1:23" x14ac:dyDescent="0.3">
      <c r="A11" s="7">
        <v>28</v>
      </c>
      <c r="B11" s="7">
        <v>159633</v>
      </c>
      <c r="C11" s="7">
        <v>16</v>
      </c>
      <c r="D11" s="7">
        <v>1.78097195119217</v>
      </c>
      <c r="E11" s="7">
        <v>15</v>
      </c>
      <c r="P11" s="12" t="s">
        <v>32</v>
      </c>
      <c r="Q11" s="12">
        <f>SKEW($C$1:$C$101)</f>
        <v>4.8663601904092149E-2</v>
      </c>
    </row>
    <row r="12" spans="1:23" x14ac:dyDescent="0.3">
      <c r="A12" s="7">
        <v>28</v>
      </c>
      <c r="B12" s="7">
        <v>51854</v>
      </c>
      <c r="C12" s="7">
        <v>33</v>
      </c>
      <c r="D12" s="7">
        <v>3.88980846104602</v>
      </c>
      <c r="E12" s="7">
        <v>17</v>
      </c>
      <c r="P12" s="12" t="s">
        <v>31</v>
      </c>
      <c r="Q12" s="12">
        <f>KURT($C$1:$C$101)</f>
        <v>-1.055159061973828</v>
      </c>
    </row>
    <row r="13" spans="1:23" x14ac:dyDescent="0.3">
      <c r="A13" s="7">
        <v>41</v>
      </c>
      <c r="B13" s="7">
        <v>89505</v>
      </c>
      <c r="C13" s="7">
        <v>9</v>
      </c>
      <c r="D13" s="7">
        <v>2.1230894497634201</v>
      </c>
      <c r="E13" s="7">
        <v>14</v>
      </c>
    </row>
    <row r="14" spans="1:23" x14ac:dyDescent="0.3">
      <c r="A14" s="7">
        <v>53</v>
      </c>
      <c r="B14" s="7">
        <v>129488</v>
      </c>
      <c r="C14" s="7">
        <v>6</v>
      </c>
      <c r="D14" s="7">
        <v>1.09726386572581</v>
      </c>
      <c r="E14" s="7">
        <v>5</v>
      </c>
      <c r="G14" t="s">
        <v>8</v>
      </c>
      <c r="P14" s="12" t="s">
        <v>47</v>
      </c>
      <c r="Q14" s="12">
        <f>CORREL($B$1:$B$101,$D$1:$D$101)</f>
        <v>-0.16429646341884679</v>
      </c>
    </row>
    <row r="15" spans="1:23" x14ac:dyDescent="0.3">
      <c r="A15" s="7">
        <v>57</v>
      </c>
      <c r="B15" s="7">
        <v>47662</v>
      </c>
      <c r="C15" s="7">
        <v>16</v>
      </c>
      <c r="D15" s="7">
        <v>3.5818891836286699</v>
      </c>
      <c r="E15" s="7">
        <v>12</v>
      </c>
    </row>
    <row r="16" spans="1:23" x14ac:dyDescent="0.3">
      <c r="A16" s="7">
        <v>41</v>
      </c>
      <c r="B16" s="7">
        <v>33392</v>
      </c>
      <c r="C16" s="7">
        <v>29</v>
      </c>
      <c r="D16" s="7">
        <v>1.70844271762819</v>
      </c>
      <c r="E16" s="7">
        <v>16</v>
      </c>
      <c r="G16" t="s">
        <v>9</v>
      </c>
      <c r="P16" s="2"/>
      <c r="Q16" s="13" t="s">
        <v>36</v>
      </c>
      <c r="R16" s="13" t="s">
        <v>26</v>
      </c>
      <c r="S16" s="13" t="s">
        <v>34</v>
      </c>
      <c r="T16" s="13" t="s">
        <v>35</v>
      </c>
      <c r="U16" s="18">
        <v>0.25</v>
      </c>
      <c r="V16" s="18">
        <v>0.5</v>
      </c>
      <c r="W16" s="18">
        <v>0.75</v>
      </c>
    </row>
    <row r="17" spans="1:24" x14ac:dyDescent="0.3">
      <c r="A17" s="7">
        <v>20</v>
      </c>
      <c r="B17" s="7">
        <v>55535</v>
      </c>
      <c r="C17" s="7">
        <v>3</v>
      </c>
      <c r="D17" s="7">
        <v>4.7618343374116501</v>
      </c>
      <c r="E17" s="7">
        <v>16</v>
      </c>
      <c r="P17" s="4" t="s">
        <v>0</v>
      </c>
      <c r="Q17" s="2">
        <v>100</v>
      </c>
      <c r="R17" s="2">
        <v>40.880000000000003</v>
      </c>
      <c r="S17" s="2">
        <v>18</v>
      </c>
      <c r="T17" s="2">
        <v>64</v>
      </c>
      <c r="U17" s="2">
        <f>_xlfn.QUARTILE.INC($A$1:$A$101,1)</f>
        <v>30.5</v>
      </c>
      <c r="V17" s="2">
        <v>41</v>
      </c>
      <c r="W17" s="2">
        <f>_xlfn.QUARTILE.INC($A$1:$A$101,3)</f>
        <v>53.25</v>
      </c>
    </row>
    <row r="18" spans="1:24" x14ac:dyDescent="0.3">
      <c r="A18" s="7">
        <v>39</v>
      </c>
      <c r="B18" s="7">
        <v>138569</v>
      </c>
      <c r="C18" s="7">
        <v>20</v>
      </c>
      <c r="D18" s="7">
        <v>4.8157143080103397</v>
      </c>
      <c r="E18" s="7">
        <v>7</v>
      </c>
      <c r="P18" s="4"/>
      <c r="Q18" s="2"/>
      <c r="R18" s="2"/>
      <c r="S18" s="2"/>
      <c r="T18" s="2"/>
      <c r="U18" s="3"/>
      <c r="V18" s="2"/>
      <c r="W18" s="3"/>
    </row>
    <row r="19" spans="1:24" x14ac:dyDescent="0.3">
      <c r="A19" s="7">
        <v>19</v>
      </c>
      <c r="B19" s="7">
        <v>77256</v>
      </c>
      <c r="C19" s="7">
        <v>36</v>
      </c>
      <c r="D19" s="7">
        <v>4.6594575608817896</v>
      </c>
      <c r="E19" s="7">
        <v>4</v>
      </c>
      <c r="P19" s="4" t="s">
        <v>1</v>
      </c>
      <c r="Q19" s="2">
        <v>100</v>
      </c>
      <c r="R19" s="2">
        <v>109321.51</v>
      </c>
      <c r="S19" s="2">
        <v>27693</v>
      </c>
      <c r="T19" s="2">
        <v>179736</v>
      </c>
      <c r="U19" s="2">
        <f>_xlfn.QUARTILE.INC($B$1:$B$101,1)</f>
        <v>73576.75</v>
      </c>
      <c r="V19" s="2">
        <f>_xlfn.QUARTILE.INC($B$1:$B$101,2)</f>
        <v>118025.5</v>
      </c>
      <c r="W19" s="2">
        <f>_xlfn.QUARTILE.INC($B$1:$B$101,3)</f>
        <v>147727.75</v>
      </c>
    </row>
    <row r="20" spans="1:24" x14ac:dyDescent="0.3">
      <c r="A20" s="7">
        <v>41</v>
      </c>
      <c r="B20" s="7">
        <v>114135</v>
      </c>
      <c r="C20" s="7">
        <v>19</v>
      </c>
      <c r="D20" s="7">
        <v>2.48063480102177</v>
      </c>
      <c r="E20" s="7">
        <v>1</v>
      </c>
      <c r="P20" s="4"/>
      <c r="Q20" s="2"/>
      <c r="R20" s="2"/>
      <c r="S20" s="2"/>
      <c r="T20" s="2"/>
      <c r="U20" s="3"/>
      <c r="V20" s="2"/>
      <c r="W20" s="3"/>
      <c r="X20" s="1"/>
    </row>
    <row r="21" spans="1:24" x14ac:dyDescent="0.3">
      <c r="A21" s="7">
        <v>61</v>
      </c>
      <c r="B21" s="7">
        <v>152478</v>
      </c>
      <c r="C21" s="7">
        <v>26</v>
      </c>
      <c r="D21" s="7">
        <v>1.0618264661154599</v>
      </c>
      <c r="E21" s="7">
        <v>5</v>
      </c>
      <c r="P21" s="4" t="s">
        <v>2</v>
      </c>
      <c r="Q21" s="2">
        <v>100</v>
      </c>
      <c r="R21" s="2">
        <v>24.47</v>
      </c>
      <c r="S21" s="2">
        <v>1</v>
      </c>
      <c r="T21" s="2">
        <v>49</v>
      </c>
      <c r="U21" s="2">
        <f>_xlfn.QUARTILE.INC($C$1:$C$101,1)</f>
        <v>13.5</v>
      </c>
      <c r="V21" s="2">
        <f>_xlfn.QUARTILE.INC($C$1:$C$101,2)</f>
        <v>24</v>
      </c>
      <c r="W21" s="2">
        <f>_xlfn.QUARTILE.INC($C$1:$C$101,3)</f>
        <v>35</v>
      </c>
    </row>
    <row r="22" spans="1:24" x14ac:dyDescent="0.3">
      <c r="A22" s="7">
        <v>47</v>
      </c>
      <c r="B22" s="7">
        <v>60222</v>
      </c>
      <c r="C22" s="7">
        <v>3</v>
      </c>
      <c r="D22" s="7">
        <v>4.7132742503509002</v>
      </c>
      <c r="E22" s="7">
        <v>10</v>
      </c>
      <c r="P22" s="4"/>
      <c r="Q22" s="2"/>
      <c r="R22" s="2"/>
      <c r="S22" s="2"/>
      <c r="T22" s="2"/>
      <c r="U22" s="3"/>
      <c r="V22" s="2"/>
      <c r="W22" s="3"/>
      <c r="X22" s="1"/>
    </row>
    <row r="23" spans="1:24" x14ac:dyDescent="0.3">
      <c r="A23" s="7">
        <v>55</v>
      </c>
      <c r="B23" s="7">
        <v>102373</v>
      </c>
      <c r="C23" s="7">
        <v>19</v>
      </c>
      <c r="D23" s="7">
        <v>2.7127365932692502</v>
      </c>
      <c r="E23" s="7">
        <v>5</v>
      </c>
      <c r="P23" s="4" t="s">
        <v>3</v>
      </c>
      <c r="Q23" s="2">
        <v>100</v>
      </c>
      <c r="R23" s="2">
        <v>3.135648299226133</v>
      </c>
      <c r="S23" s="2">
        <v>1.0618264661154599</v>
      </c>
      <c r="T23" s="2">
        <v>4.9602154004170496</v>
      </c>
      <c r="U23" s="2">
        <f>_xlfn.QUARTILE.INC($D$1:$D$101,1)</f>
        <v>2.1673167849217601</v>
      </c>
      <c r="V23" s="2">
        <f>_xlfn.QUARTILE.INC($D$1:$D$101,2)</f>
        <v>3.18374259882739</v>
      </c>
      <c r="W23" s="2">
        <f>_xlfn.QUARTILE.INC($D$1:$D$101,3)</f>
        <v>4.1813512537422071</v>
      </c>
    </row>
    <row r="24" spans="1:24" x14ac:dyDescent="0.3">
      <c r="A24" s="7">
        <v>19</v>
      </c>
      <c r="B24" s="7">
        <v>148684</v>
      </c>
      <c r="C24" s="7">
        <v>20</v>
      </c>
      <c r="D24" s="7">
        <v>4.8666192761746698</v>
      </c>
      <c r="E24" s="7">
        <v>4</v>
      </c>
      <c r="P24" s="4"/>
      <c r="Q24" s="2"/>
      <c r="R24" s="2"/>
      <c r="S24" s="2"/>
      <c r="T24" s="2"/>
      <c r="U24" s="3"/>
      <c r="V24" s="2"/>
      <c r="W24" s="3"/>
      <c r="X24" s="1"/>
    </row>
    <row r="25" spans="1:24" x14ac:dyDescent="0.3">
      <c r="A25" s="7">
        <v>38</v>
      </c>
      <c r="B25" s="7">
        <v>35965</v>
      </c>
      <c r="C25" s="7">
        <v>32</v>
      </c>
      <c r="D25" s="7">
        <v>4.8544799083570096</v>
      </c>
      <c r="E25" s="7">
        <v>2</v>
      </c>
      <c r="P25" s="4" t="s">
        <v>4</v>
      </c>
      <c r="Q25" s="2">
        <v>100</v>
      </c>
      <c r="R25" s="2">
        <v>9.9600000000000009</v>
      </c>
      <c r="S25" s="2">
        <v>1</v>
      </c>
      <c r="T25" s="2">
        <v>19</v>
      </c>
      <c r="U25" s="2">
        <f>_xlfn.QUARTILE.INC($E$1:$E$101,1)</f>
        <v>4.75</v>
      </c>
      <c r="V25" s="2">
        <f>_xlfn.QUARTILE.INC($E$1:$E$101,2)</f>
        <v>10</v>
      </c>
      <c r="W25" s="2">
        <f>_xlfn.QUARTILE.INC($E$1:$E$101,3)</f>
        <v>16</v>
      </c>
    </row>
    <row r="26" spans="1:24" x14ac:dyDescent="0.3">
      <c r="A26" s="7">
        <v>50</v>
      </c>
      <c r="B26" s="7">
        <v>49538</v>
      </c>
      <c r="C26" s="7">
        <v>7</v>
      </c>
      <c r="D26" s="7">
        <v>4.4120378218694398</v>
      </c>
      <c r="E26" s="7">
        <v>10</v>
      </c>
    </row>
    <row r="27" spans="1:24" x14ac:dyDescent="0.3">
      <c r="A27" s="7">
        <v>29</v>
      </c>
      <c r="B27" s="7">
        <v>133066</v>
      </c>
      <c r="C27" s="7">
        <v>41</v>
      </c>
      <c r="D27" s="7">
        <v>2.1777955682783401</v>
      </c>
      <c r="E27" s="7">
        <v>19</v>
      </c>
      <c r="G27" t="s">
        <v>10</v>
      </c>
    </row>
    <row r="28" spans="1:24" x14ac:dyDescent="0.3">
      <c r="A28" s="7">
        <v>39</v>
      </c>
      <c r="B28" s="7">
        <v>138252</v>
      </c>
      <c r="C28" s="7">
        <v>33</v>
      </c>
      <c r="D28" s="7">
        <v>2.5403909144077002</v>
      </c>
      <c r="E28" s="7">
        <v>1</v>
      </c>
      <c r="T28" s="15" t="s">
        <v>32</v>
      </c>
      <c r="U28" s="16">
        <v>3.7765578908519698E-2</v>
      </c>
    </row>
    <row r="29" spans="1:24" x14ac:dyDescent="0.3">
      <c r="A29" s="7">
        <v>61</v>
      </c>
      <c r="B29" s="7">
        <v>164182</v>
      </c>
      <c r="C29" s="7">
        <v>40</v>
      </c>
      <c r="D29" s="7">
        <v>4.4045466860674196</v>
      </c>
      <c r="E29" s="7">
        <v>5</v>
      </c>
    </row>
    <row r="30" spans="1:24" x14ac:dyDescent="0.3">
      <c r="A30" s="7">
        <v>42</v>
      </c>
      <c r="B30" s="7">
        <v>123806</v>
      </c>
      <c r="C30" s="7">
        <v>39</v>
      </c>
      <c r="D30" s="7">
        <v>2.2676880206251102</v>
      </c>
      <c r="E30" s="7">
        <v>13</v>
      </c>
    </row>
    <row r="31" spans="1:24" x14ac:dyDescent="0.3">
      <c r="A31" s="7">
        <v>44</v>
      </c>
      <c r="B31" s="7">
        <v>162982</v>
      </c>
      <c r="C31" s="7">
        <v>18</v>
      </c>
      <c r="D31" s="7">
        <v>1.67797098674437</v>
      </c>
      <c r="E31" s="7">
        <v>4</v>
      </c>
    </row>
    <row r="32" spans="1:24" x14ac:dyDescent="0.3">
      <c r="A32" s="7">
        <v>59</v>
      </c>
      <c r="B32" s="7">
        <v>135989</v>
      </c>
      <c r="C32" s="7">
        <v>40</v>
      </c>
      <c r="D32" s="7">
        <v>3.2272050498334002</v>
      </c>
      <c r="E32" s="7">
        <v>16</v>
      </c>
    </row>
    <row r="33" spans="1:21" x14ac:dyDescent="0.3">
      <c r="A33" s="7">
        <v>45</v>
      </c>
      <c r="B33" s="7">
        <v>115982</v>
      </c>
      <c r="C33" s="7">
        <v>1</v>
      </c>
      <c r="D33" s="7">
        <v>4.7446190966431203</v>
      </c>
      <c r="E33" s="7">
        <v>16</v>
      </c>
    </row>
    <row r="34" spans="1:21" x14ac:dyDescent="0.3">
      <c r="A34" s="7">
        <v>33</v>
      </c>
      <c r="B34" s="7">
        <v>146626</v>
      </c>
      <c r="C34" s="7">
        <v>11</v>
      </c>
      <c r="D34" s="7">
        <v>3.7841191866998898</v>
      </c>
      <c r="E34" s="7">
        <v>2</v>
      </c>
    </row>
    <row r="35" spans="1:21" x14ac:dyDescent="0.3">
      <c r="A35" s="7">
        <v>32</v>
      </c>
      <c r="B35" s="7">
        <v>144176</v>
      </c>
      <c r="C35" s="7">
        <v>28</v>
      </c>
      <c r="D35" s="7">
        <v>3.2802446803574599</v>
      </c>
      <c r="E35" s="7">
        <v>17</v>
      </c>
    </row>
    <row r="36" spans="1:21" x14ac:dyDescent="0.3">
      <c r="A36" s="7">
        <v>64</v>
      </c>
      <c r="B36" s="7">
        <v>156278</v>
      </c>
      <c r="C36" s="7">
        <v>25</v>
      </c>
      <c r="D36" s="7">
        <v>1.3887059750830699</v>
      </c>
      <c r="E36" s="7">
        <v>12</v>
      </c>
    </row>
    <row r="37" spans="1:21" x14ac:dyDescent="0.3">
      <c r="A37" s="7">
        <v>61</v>
      </c>
      <c r="B37" s="7">
        <v>147409</v>
      </c>
      <c r="C37" s="7">
        <v>23</v>
      </c>
      <c r="D37" s="7">
        <v>3.4600289067966701</v>
      </c>
      <c r="E37" s="7">
        <v>18</v>
      </c>
    </row>
    <row r="38" spans="1:21" x14ac:dyDescent="0.3">
      <c r="A38" s="7">
        <v>20</v>
      </c>
      <c r="B38" s="7">
        <v>48419</v>
      </c>
      <c r="C38" s="7">
        <v>31</v>
      </c>
      <c r="D38" s="7">
        <v>4.9602154004170496</v>
      </c>
      <c r="E38" s="7">
        <v>3</v>
      </c>
    </row>
    <row r="39" spans="1:21" x14ac:dyDescent="0.3">
      <c r="A39" s="7">
        <v>54</v>
      </c>
      <c r="B39" s="7">
        <v>75015</v>
      </c>
      <c r="C39" s="7">
        <v>30</v>
      </c>
      <c r="D39" s="7">
        <v>1.5603360609460899</v>
      </c>
      <c r="E39" s="7">
        <v>1</v>
      </c>
    </row>
    <row r="40" spans="1:21" x14ac:dyDescent="0.3">
      <c r="A40" s="7">
        <v>24</v>
      </c>
      <c r="B40" s="7">
        <v>147096</v>
      </c>
      <c r="C40" s="7">
        <v>42</v>
      </c>
      <c r="D40" s="7">
        <v>3.0733186094549398</v>
      </c>
      <c r="E40" s="7">
        <v>1</v>
      </c>
      <c r="G40" t="s">
        <v>11</v>
      </c>
      <c r="P40" s="8" t="s">
        <v>37</v>
      </c>
      <c r="Q40" s="9">
        <v>2.1673</v>
      </c>
      <c r="R40" s="10" t="s">
        <v>40</v>
      </c>
      <c r="S40" s="9">
        <f>Q42-Q40</f>
        <v>2.0141</v>
      </c>
    </row>
    <row r="41" spans="1:21" x14ac:dyDescent="0.3">
      <c r="A41" s="7">
        <v>38</v>
      </c>
      <c r="B41" s="7">
        <v>132059</v>
      </c>
      <c r="C41" s="7">
        <v>35</v>
      </c>
      <c r="D41" s="7">
        <v>4.5094922877118204</v>
      </c>
      <c r="E41" s="7">
        <v>19</v>
      </c>
      <c r="P41" s="10" t="s">
        <v>38</v>
      </c>
      <c r="Q41" s="9">
        <v>3.1837</v>
      </c>
      <c r="R41" s="10" t="s">
        <v>42</v>
      </c>
      <c r="S41" s="9">
        <f>$Q$40-1.5*$S$40</f>
        <v>-0.85385</v>
      </c>
      <c r="U41" s="5"/>
    </row>
    <row r="42" spans="1:21" x14ac:dyDescent="0.3">
      <c r="A42" s="7">
        <v>26</v>
      </c>
      <c r="B42" s="7">
        <v>135687</v>
      </c>
      <c r="C42" s="7">
        <v>7</v>
      </c>
      <c r="D42" s="7">
        <v>3.9630744710168102</v>
      </c>
      <c r="E42" s="7">
        <v>11</v>
      </c>
      <c r="P42" s="10" t="s">
        <v>39</v>
      </c>
      <c r="Q42" s="9">
        <v>4.1814</v>
      </c>
      <c r="R42" s="10" t="s">
        <v>43</v>
      </c>
      <c r="S42" s="9">
        <f>$Q$42+1.5*$S$40</f>
        <v>7.2025500000000005</v>
      </c>
    </row>
    <row r="43" spans="1:21" x14ac:dyDescent="0.3">
      <c r="A43" s="7">
        <v>56</v>
      </c>
      <c r="B43" s="7">
        <v>112939</v>
      </c>
      <c r="C43" s="7">
        <v>16</v>
      </c>
      <c r="D43" s="7">
        <v>3.7880629639810701</v>
      </c>
      <c r="E43" s="7">
        <v>5</v>
      </c>
      <c r="P43" s="11" t="s">
        <v>41</v>
      </c>
      <c r="Q43" s="14" t="str" cm="1">
        <f t="array" ref="Q43">_xlfn._xlws.FILTER($D$2:$D$101,($D$2:$D$101&lt;$S$41)+($D$2:$D$101&gt;$S$42),"No Outliers")</f>
        <v>No Outliers</v>
      </c>
      <c r="R43" s="7"/>
      <c r="S43" s="7"/>
    </row>
    <row r="44" spans="1:21" x14ac:dyDescent="0.3">
      <c r="A44" s="7">
        <v>35</v>
      </c>
      <c r="B44" s="7">
        <v>174213</v>
      </c>
      <c r="C44" s="7">
        <v>26</v>
      </c>
      <c r="D44" s="7">
        <v>3.80993633594843</v>
      </c>
      <c r="E44" s="7">
        <v>12</v>
      </c>
    </row>
    <row r="45" spans="1:21" x14ac:dyDescent="0.3">
      <c r="A45" s="7">
        <v>21</v>
      </c>
      <c r="B45" s="7">
        <v>130878</v>
      </c>
      <c r="C45" s="7">
        <v>48</v>
      </c>
      <c r="D45" s="7">
        <v>2.4379646048790198</v>
      </c>
      <c r="E45" s="7">
        <v>3</v>
      </c>
      <c r="G45" t="s">
        <v>12</v>
      </c>
      <c r="P45" s="10" t="s">
        <v>44</v>
      </c>
      <c r="Q45" s="7">
        <v>44418.086324573604</v>
      </c>
    </row>
    <row r="46" spans="1:21" x14ac:dyDescent="0.3">
      <c r="A46" s="7">
        <v>42</v>
      </c>
      <c r="B46" s="7">
        <v>87623</v>
      </c>
      <c r="C46" s="7">
        <v>49</v>
      </c>
      <c r="D46" s="7">
        <v>2.1743673770579699</v>
      </c>
      <c r="E46" s="7">
        <v>1</v>
      </c>
      <c r="P46" s="10" t="s">
        <v>45</v>
      </c>
      <c r="Q46" s="7">
        <v>109321.51</v>
      </c>
    </row>
    <row r="47" spans="1:21" x14ac:dyDescent="0.3">
      <c r="A47" s="7">
        <v>31</v>
      </c>
      <c r="B47" s="7">
        <v>100450</v>
      </c>
      <c r="C47" s="7">
        <v>2</v>
      </c>
      <c r="D47" s="7">
        <v>4.23744462191405</v>
      </c>
      <c r="E47" s="7">
        <v>1</v>
      </c>
      <c r="P47" s="11" t="s">
        <v>46</v>
      </c>
      <c r="Q47" s="12">
        <f>$Q$45/$Q$46</f>
        <v>0.40630692280570957</v>
      </c>
    </row>
    <row r="48" spans="1:21" x14ac:dyDescent="0.3">
      <c r="A48" s="7">
        <v>26</v>
      </c>
      <c r="B48" s="7">
        <v>118426</v>
      </c>
      <c r="C48" s="7">
        <v>1</v>
      </c>
      <c r="D48" s="7">
        <v>4.2404535787167204</v>
      </c>
      <c r="E48" s="7">
        <v>8</v>
      </c>
    </row>
    <row r="49" spans="1:21" x14ac:dyDescent="0.3">
      <c r="A49" s="7">
        <v>43</v>
      </c>
      <c r="B49" s="7">
        <v>142845</v>
      </c>
      <c r="C49" s="7">
        <v>48</v>
      </c>
      <c r="D49" s="7">
        <v>4.4682892743204103</v>
      </c>
      <c r="E49" s="7">
        <v>10</v>
      </c>
      <c r="G49" t="s">
        <v>13</v>
      </c>
      <c r="P49" s="8" t="s">
        <v>37</v>
      </c>
      <c r="Q49" s="2">
        <f>_xlfn.QUARTILE.INC($C$1:$C$101,1)</f>
        <v>13.5</v>
      </c>
    </row>
    <row r="50" spans="1:21" x14ac:dyDescent="0.3">
      <c r="A50" s="7">
        <v>19</v>
      </c>
      <c r="B50" s="7">
        <v>178371</v>
      </c>
      <c r="C50" s="7">
        <v>12</v>
      </c>
      <c r="D50" s="7">
        <v>4.6529622102258799</v>
      </c>
      <c r="E50" s="7">
        <v>11</v>
      </c>
      <c r="P50" s="10" t="s">
        <v>38</v>
      </c>
      <c r="Q50" s="2">
        <f>_xlfn.QUARTILE.INC($C$1:$C$101,2)</f>
        <v>24</v>
      </c>
    </row>
    <row r="51" spans="1:21" x14ac:dyDescent="0.3">
      <c r="A51" s="7">
        <v>37</v>
      </c>
      <c r="B51" s="7">
        <v>68585</v>
      </c>
      <c r="C51" s="7">
        <v>5</v>
      </c>
      <c r="D51" s="7">
        <v>3.0453695954437499</v>
      </c>
      <c r="E51" s="7">
        <v>12</v>
      </c>
      <c r="P51" s="10" t="s">
        <v>39</v>
      </c>
      <c r="Q51" s="2">
        <f>_xlfn.QUARTILE.INC($C$1:$C$101,3)</f>
        <v>35</v>
      </c>
    </row>
    <row r="52" spans="1:21" x14ac:dyDescent="0.3">
      <c r="A52" s="7">
        <v>45</v>
      </c>
      <c r="B52" s="7">
        <v>134225</v>
      </c>
      <c r="C52" s="7">
        <v>37</v>
      </c>
      <c r="D52" s="7">
        <v>3.00606517874879</v>
      </c>
      <c r="E52" s="7">
        <v>13</v>
      </c>
      <c r="P52" s="11" t="s">
        <v>40</v>
      </c>
      <c r="Q52" s="13">
        <f>$Q$51-$Q$49</f>
        <v>21.5</v>
      </c>
    </row>
    <row r="53" spans="1:21" x14ac:dyDescent="0.3">
      <c r="A53" s="7">
        <v>64</v>
      </c>
      <c r="B53" s="7">
        <v>89044</v>
      </c>
      <c r="C53" s="7">
        <v>32</v>
      </c>
      <c r="D53" s="7">
        <v>4.1931807158670997</v>
      </c>
      <c r="E53" s="7">
        <v>12</v>
      </c>
    </row>
    <row r="54" spans="1:21" x14ac:dyDescent="0.3">
      <c r="A54" s="7">
        <v>24</v>
      </c>
      <c r="B54" s="7">
        <v>134556</v>
      </c>
      <c r="C54" s="7">
        <v>9</v>
      </c>
      <c r="D54" s="7">
        <v>3.5998557231110602</v>
      </c>
      <c r="E54" s="7">
        <v>14</v>
      </c>
      <c r="G54" t="s">
        <v>14</v>
      </c>
    </row>
    <row r="55" spans="1:21" x14ac:dyDescent="0.3">
      <c r="A55" s="7">
        <v>61</v>
      </c>
      <c r="B55" s="7">
        <v>27693</v>
      </c>
      <c r="C55" s="7">
        <v>41</v>
      </c>
      <c r="D55" s="7">
        <v>3.8078675090308098</v>
      </c>
      <c r="E55" s="7">
        <v>2</v>
      </c>
      <c r="P55" s="6"/>
      <c r="Q55" s="6" t="s">
        <v>0</v>
      </c>
      <c r="R55" s="6" t="s">
        <v>1</v>
      </c>
      <c r="S55" s="6" t="s">
        <v>2</v>
      </c>
      <c r="T55" s="6" t="s">
        <v>3</v>
      </c>
      <c r="U55" s="6" t="s">
        <v>4</v>
      </c>
    </row>
    <row r="56" spans="1:21" x14ac:dyDescent="0.3">
      <c r="A56" s="7">
        <v>25</v>
      </c>
      <c r="B56" s="7">
        <v>120259</v>
      </c>
      <c r="C56" s="7">
        <v>35</v>
      </c>
      <c r="D56" s="7">
        <v>4.1831706777443998</v>
      </c>
      <c r="E56" s="7">
        <v>19</v>
      </c>
      <c r="P56" s="7" t="s">
        <v>0</v>
      </c>
      <c r="Q56" s="7">
        <v>1</v>
      </c>
      <c r="R56" s="7"/>
      <c r="S56" s="7"/>
      <c r="T56" s="7"/>
      <c r="U56" s="7"/>
    </row>
    <row r="57" spans="1:21" x14ac:dyDescent="0.3">
      <c r="A57" s="7">
        <v>64</v>
      </c>
      <c r="B57" s="7">
        <v>50939</v>
      </c>
      <c r="C57" s="7">
        <v>19</v>
      </c>
      <c r="D57" s="7">
        <v>4.5600213672702603</v>
      </c>
      <c r="E57" s="7">
        <v>18</v>
      </c>
      <c r="P57" s="7" t="s">
        <v>1</v>
      </c>
      <c r="Q57" s="7">
        <v>-1.76583580121575E-2</v>
      </c>
      <c r="R57" s="7">
        <v>1</v>
      </c>
      <c r="S57" s="7"/>
      <c r="T57" s="7"/>
      <c r="U57" s="7"/>
    </row>
    <row r="58" spans="1:21" x14ac:dyDescent="0.3">
      <c r="A58" s="7">
        <v>52</v>
      </c>
      <c r="B58" s="7">
        <v>177906</v>
      </c>
      <c r="C58" s="7">
        <v>48</v>
      </c>
      <c r="D58" s="7">
        <v>2.3519806274061401</v>
      </c>
      <c r="E58" s="7">
        <v>3</v>
      </c>
      <c r="P58" s="7" t="s">
        <v>2</v>
      </c>
      <c r="Q58" s="7">
        <v>6.1269927716477567E-2</v>
      </c>
      <c r="R58" s="7">
        <v>-1.5562351235101841E-3</v>
      </c>
      <c r="S58" s="7">
        <v>1</v>
      </c>
      <c r="T58" s="7"/>
      <c r="U58" s="7"/>
    </row>
    <row r="59" spans="1:21" x14ac:dyDescent="0.3">
      <c r="A59" s="7">
        <v>31</v>
      </c>
      <c r="B59" s="7">
        <v>43047</v>
      </c>
      <c r="C59" s="7">
        <v>16</v>
      </c>
      <c r="D59" s="7">
        <v>2.5023318105597698</v>
      </c>
      <c r="E59" s="7">
        <v>17</v>
      </c>
      <c r="P59" s="7" t="s">
        <v>3</v>
      </c>
      <c r="Q59" s="7">
        <v>-0.10558671521325771</v>
      </c>
      <c r="R59" s="7">
        <v>-0.16429646341884679</v>
      </c>
      <c r="S59" s="7">
        <v>2.4925181823867867E-2</v>
      </c>
      <c r="T59" s="7">
        <v>1</v>
      </c>
      <c r="U59" s="7"/>
    </row>
    <row r="60" spans="1:21" x14ac:dyDescent="0.3">
      <c r="A60" s="7">
        <v>34</v>
      </c>
      <c r="B60" s="7">
        <v>51105</v>
      </c>
      <c r="C60" s="7">
        <v>3</v>
      </c>
      <c r="D60" s="7">
        <v>1.37592775936347</v>
      </c>
      <c r="E60" s="7">
        <v>8</v>
      </c>
      <c r="P60" s="7" t="s">
        <v>4</v>
      </c>
      <c r="Q60" s="7">
        <v>-1.2339678809961185E-2</v>
      </c>
      <c r="R60" s="7">
        <v>-7.8238758975678377E-2</v>
      </c>
      <c r="S60" s="7">
        <v>-0.16184622628463602</v>
      </c>
      <c r="T60" s="7">
        <v>8.8200793739324865E-2</v>
      </c>
      <c r="U60" s="7">
        <v>1</v>
      </c>
    </row>
    <row r="61" spans="1:21" x14ac:dyDescent="0.3">
      <c r="A61" s="7">
        <v>53</v>
      </c>
      <c r="B61" s="7">
        <v>100766</v>
      </c>
      <c r="C61" s="7">
        <v>20</v>
      </c>
      <c r="D61" s="7">
        <v>3.3131205639846901</v>
      </c>
      <c r="E61" s="7">
        <v>10</v>
      </c>
    </row>
    <row r="62" spans="1:21" x14ac:dyDescent="0.3">
      <c r="A62" s="7">
        <v>57</v>
      </c>
      <c r="B62" s="7">
        <v>171779</v>
      </c>
      <c r="C62" s="7">
        <v>24</v>
      </c>
      <c r="D62" s="7">
        <v>1.1437690951869599</v>
      </c>
      <c r="E62" s="7">
        <v>2</v>
      </c>
      <c r="G62" t="s">
        <v>15</v>
      </c>
      <c r="P62" s="9"/>
      <c r="Q62" s="6" t="s">
        <v>0</v>
      </c>
      <c r="R62" s="6" t="s">
        <v>1</v>
      </c>
    </row>
    <row r="63" spans="1:21" x14ac:dyDescent="0.3">
      <c r="A63" s="7">
        <v>21</v>
      </c>
      <c r="B63" s="7">
        <v>178048</v>
      </c>
      <c r="C63" s="7">
        <v>33</v>
      </c>
      <c r="D63" s="7">
        <v>2.8623920725298402</v>
      </c>
      <c r="E63" s="7">
        <v>19</v>
      </c>
      <c r="P63" s="14" t="s">
        <v>33</v>
      </c>
      <c r="Q63" s="14">
        <f>$T$17-$S$17</f>
        <v>46</v>
      </c>
      <c r="R63" s="14">
        <f>$T$19-$S$19</f>
        <v>152043</v>
      </c>
    </row>
    <row r="64" spans="1:21" x14ac:dyDescent="0.3">
      <c r="A64" s="7">
        <v>19</v>
      </c>
      <c r="B64" s="7">
        <v>69262</v>
      </c>
      <c r="C64" s="7">
        <v>24</v>
      </c>
      <c r="D64" s="7">
        <v>3.1705785388302998</v>
      </c>
      <c r="E64" s="7">
        <v>9</v>
      </c>
    </row>
    <row r="65" spans="1:18" x14ac:dyDescent="0.3">
      <c r="A65" s="7">
        <v>23</v>
      </c>
      <c r="B65" s="7">
        <v>150117</v>
      </c>
      <c r="C65" s="7">
        <v>11</v>
      </c>
      <c r="D65" s="7">
        <v>2.1461650085131301</v>
      </c>
      <c r="E65" s="7">
        <v>7</v>
      </c>
      <c r="G65" t="s">
        <v>16</v>
      </c>
      <c r="P65" s="18">
        <v>0.25</v>
      </c>
      <c r="Q65" s="18">
        <v>0.5</v>
      </c>
      <c r="R65" s="18">
        <v>0.75</v>
      </c>
    </row>
    <row r="66" spans="1:18" x14ac:dyDescent="0.3">
      <c r="A66" s="7">
        <v>59</v>
      </c>
      <c r="B66" s="7">
        <v>48776</v>
      </c>
      <c r="C66" s="7">
        <v>49</v>
      </c>
      <c r="D66" s="7">
        <v>3.3633330422760399</v>
      </c>
      <c r="E66" s="7">
        <v>4</v>
      </c>
      <c r="P66" s="2">
        <f>_xlfn.PERCENTILE.INC($C$2:$C$101,0.25)</f>
        <v>13.5</v>
      </c>
      <c r="Q66" s="2">
        <f>_xlfn.PERCENTILE.INC($C$2:$C$101,0.5)</f>
        <v>24</v>
      </c>
      <c r="R66" s="2">
        <f>_xlfn.PERCENTILE.INC($C$2:$C$101,0.75)</f>
        <v>35</v>
      </c>
    </row>
    <row r="67" spans="1:18" x14ac:dyDescent="0.3">
      <c r="A67" s="7">
        <v>21</v>
      </c>
      <c r="B67" s="7">
        <v>153376</v>
      </c>
      <c r="C67" s="7">
        <v>8</v>
      </c>
      <c r="D67" s="7">
        <v>1.1220009997561899</v>
      </c>
      <c r="E67" s="7">
        <v>18</v>
      </c>
    </row>
    <row r="68" spans="1:18" x14ac:dyDescent="0.3">
      <c r="A68" s="7">
        <v>46</v>
      </c>
      <c r="B68" s="7">
        <v>162848</v>
      </c>
      <c r="C68" s="7">
        <v>36</v>
      </c>
      <c r="D68" s="7">
        <v>1.1493927549968499</v>
      </c>
      <c r="E68" s="7">
        <v>13</v>
      </c>
      <c r="G68" t="s">
        <v>17</v>
      </c>
      <c r="P68" s="13" t="s">
        <v>48</v>
      </c>
      <c r="Q68" s="14">
        <f>_xlfn.COVARIANCE.S($B$2:$B$101,$E$2:$E$101)</f>
        <v>-20227.181414141414</v>
      </c>
    </row>
    <row r="69" spans="1:18" x14ac:dyDescent="0.3">
      <c r="A69" s="7">
        <v>35</v>
      </c>
      <c r="B69" s="7">
        <v>117787</v>
      </c>
      <c r="C69" s="7">
        <v>38</v>
      </c>
      <c r="D69" s="7">
        <v>4.2904022426386303</v>
      </c>
      <c r="E69" s="7">
        <v>11</v>
      </c>
    </row>
    <row r="70" spans="1:18" x14ac:dyDescent="0.3">
      <c r="A70" s="7">
        <v>43</v>
      </c>
      <c r="B70" s="7">
        <v>152948</v>
      </c>
      <c r="C70" s="7">
        <v>40</v>
      </c>
      <c r="D70" s="7">
        <v>2.4407625656450498</v>
      </c>
      <c r="E70" s="7">
        <v>4</v>
      </c>
      <c r="G70" t="s">
        <v>18</v>
      </c>
      <c r="P70" s="12" t="s">
        <v>31</v>
      </c>
      <c r="Q70" s="12">
        <v>-1.2236234886974053</v>
      </c>
    </row>
    <row r="71" spans="1:18" ht="25.2" customHeight="1" x14ac:dyDescent="0.3">
      <c r="A71" s="7">
        <v>61</v>
      </c>
      <c r="B71" s="7">
        <v>80016</v>
      </c>
      <c r="C71" s="7">
        <v>20</v>
      </c>
      <c r="D71" s="7">
        <v>1.50824205060753</v>
      </c>
      <c r="E71" s="7">
        <v>4</v>
      </c>
      <c r="P71" s="12" t="s">
        <v>32</v>
      </c>
      <c r="Q71" s="12">
        <v>-0.25307872181127566</v>
      </c>
    </row>
    <row r="72" spans="1:18" x14ac:dyDescent="0.3">
      <c r="A72" s="7">
        <v>51</v>
      </c>
      <c r="B72" s="7">
        <v>165546</v>
      </c>
      <c r="C72" s="7">
        <v>35</v>
      </c>
      <c r="D72" s="7">
        <v>3.0889730402192099</v>
      </c>
      <c r="E72" s="7">
        <v>10</v>
      </c>
    </row>
    <row r="73" spans="1:18" x14ac:dyDescent="0.3">
      <c r="A73" s="7">
        <v>27</v>
      </c>
      <c r="B73" s="7">
        <v>46959</v>
      </c>
      <c r="C73" s="7">
        <v>48</v>
      </c>
      <c r="D73" s="7">
        <v>4.0799742123944398</v>
      </c>
      <c r="E73" s="7">
        <v>5</v>
      </c>
      <c r="P73" s="7" t="s">
        <v>29</v>
      </c>
      <c r="Q73" s="7">
        <v>1.1712801306942608</v>
      </c>
    </row>
    <row r="74" spans="1:18" x14ac:dyDescent="0.3">
      <c r="A74" s="7">
        <v>53</v>
      </c>
      <c r="B74" s="7">
        <v>161602</v>
      </c>
      <c r="C74" s="7">
        <v>25</v>
      </c>
      <c r="D74" s="7">
        <v>1.86328410998737</v>
      </c>
      <c r="E74" s="7">
        <v>9</v>
      </c>
      <c r="G74" t="s">
        <v>19</v>
      </c>
      <c r="P74" s="21" t="s">
        <v>50</v>
      </c>
      <c r="Q74" s="12">
        <f>STANDARDIZE(D2,$R$23,$Q$73)</f>
        <v>-0.99010449790727018</v>
      </c>
    </row>
    <row r="75" spans="1:18" x14ac:dyDescent="0.3">
      <c r="A75" s="7">
        <v>31</v>
      </c>
      <c r="B75" s="7">
        <v>144101</v>
      </c>
      <c r="C75" s="7">
        <v>35</v>
      </c>
      <c r="D75" s="7">
        <v>3.4915619032760001</v>
      </c>
      <c r="E75" s="7">
        <v>3</v>
      </c>
      <c r="P75" s="12" t="s">
        <v>49</v>
      </c>
      <c r="Q75" s="2" cm="1">
        <f t="array" ref="Q75:Q133">_xlfn._xlws.FILTER($D$2:$D$101,($D$2:$D$101&lt;-3)+($D$2:$D$101&gt;3),"No Outliers")</f>
        <v>4.8920422190097801</v>
      </c>
    </row>
    <row r="76" spans="1:18" x14ac:dyDescent="0.3">
      <c r="A76" s="7">
        <v>48</v>
      </c>
      <c r="B76" s="7">
        <v>28748</v>
      </c>
      <c r="C76" s="7">
        <v>25</v>
      </c>
      <c r="D76" s="7">
        <v>1.34138985997507</v>
      </c>
      <c r="E76" s="7">
        <v>17</v>
      </c>
      <c r="Q76" s="2">
        <v>4.5681862207084496</v>
      </c>
    </row>
    <row r="77" spans="1:18" x14ac:dyDescent="0.3">
      <c r="A77" s="7">
        <v>32</v>
      </c>
      <c r="B77" s="7">
        <v>38545</v>
      </c>
      <c r="C77" s="7">
        <v>29</v>
      </c>
      <c r="D77" s="7">
        <v>1.2067268846744299</v>
      </c>
      <c r="E77" s="7">
        <v>3</v>
      </c>
      <c r="Q77" s="2">
        <v>3.5245545039890498</v>
      </c>
    </row>
    <row r="78" spans="1:18" x14ac:dyDescent="0.3">
      <c r="A78" s="7">
        <v>25</v>
      </c>
      <c r="B78" s="7">
        <v>152659</v>
      </c>
      <c r="C78" s="7">
        <v>18</v>
      </c>
      <c r="D78" s="7">
        <v>3.1254185262725902</v>
      </c>
      <c r="E78" s="7">
        <v>16</v>
      </c>
      <c r="Q78" s="2">
        <v>4.1792452141665901</v>
      </c>
    </row>
    <row r="79" spans="1:18" x14ac:dyDescent="0.3">
      <c r="A79" s="7">
        <v>31</v>
      </c>
      <c r="B79" s="7">
        <v>98530</v>
      </c>
      <c r="C79" s="7">
        <v>46</v>
      </c>
      <c r="D79" s="7">
        <v>3.1625404864404199</v>
      </c>
      <c r="E79" s="7">
        <v>4</v>
      </c>
      <c r="Q79" s="2">
        <v>3.01054837242076</v>
      </c>
    </row>
    <row r="80" spans="1:18" x14ac:dyDescent="0.3">
      <c r="A80" s="7">
        <v>40</v>
      </c>
      <c r="B80" s="7">
        <v>118557</v>
      </c>
      <c r="C80" s="7">
        <v>18</v>
      </c>
      <c r="D80" s="7">
        <v>3.54971960599282</v>
      </c>
      <c r="E80" s="7">
        <v>18</v>
      </c>
      <c r="Q80" s="2">
        <v>3.3076155385054302</v>
      </c>
    </row>
    <row r="81" spans="1:23" x14ac:dyDescent="0.3">
      <c r="A81" s="7">
        <v>57</v>
      </c>
      <c r="B81" s="7">
        <v>86087</v>
      </c>
      <c r="C81" s="7">
        <v>2</v>
      </c>
      <c r="D81" s="7">
        <v>3.90436533489064</v>
      </c>
      <c r="E81" s="7">
        <v>17</v>
      </c>
      <c r="Q81" s="2">
        <v>3.88980846104602</v>
      </c>
    </row>
    <row r="82" spans="1:23" x14ac:dyDescent="0.3">
      <c r="A82" s="7">
        <v>38</v>
      </c>
      <c r="B82" s="7">
        <v>93840</v>
      </c>
      <c r="C82" s="7">
        <v>35</v>
      </c>
      <c r="D82" s="7">
        <v>4.90340831785013</v>
      </c>
      <c r="E82" s="7">
        <v>7</v>
      </c>
      <c r="Q82" s="2">
        <v>3.5818891836286699</v>
      </c>
    </row>
    <row r="83" spans="1:23" x14ac:dyDescent="0.3">
      <c r="A83" s="7">
        <v>33</v>
      </c>
      <c r="B83" s="7">
        <v>143451</v>
      </c>
      <c r="C83" s="7">
        <v>16</v>
      </c>
      <c r="D83" s="7">
        <v>3.0652013932047799</v>
      </c>
      <c r="E83" s="7">
        <v>5</v>
      </c>
      <c r="Q83" s="2">
        <v>4.7618343374116501</v>
      </c>
    </row>
    <row r="84" spans="1:23" x14ac:dyDescent="0.3">
      <c r="A84" s="7">
        <v>62</v>
      </c>
      <c r="B84" s="7">
        <v>76005</v>
      </c>
      <c r="C84" s="7">
        <v>41</v>
      </c>
      <c r="D84" s="7">
        <v>2.2918258917649799</v>
      </c>
      <c r="E84" s="7">
        <v>12</v>
      </c>
      <c r="Q84" s="2">
        <v>4.8157143080103397</v>
      </c>
    </row>
    <row r="85" spans="1:23" x14ac:dyDescent="0.3">
      <c r="A85" s="7">
        <v>35</v>
      </c>
      <c r="B85" s="7">
        <v>64353</v>
      </c>
      <c r="C85" s="7">
        <v>36</v>
      </c>
      <c r="D85" s="7">
        <v>4.1807447790748098</v>
      </c>
      <c r="E85" s="7">
        <v>17</v>
      </c>
      <c r="Q85" s="2">
        <v>4.6594575608817896</v>
      </c>
    </row>
    <row r="86" spans="1:23" x14ac:dyDescent="0.3">
      <c r="A86" s="7">
        <v>64</v>
      </c>
      <c r="B86" s="7">
        <v>77733</v>
      </c>
      <c r="C86" s="7">
        <v>33</v>
      </c>
      <c r="D86" s="7">
        <v>2.0833290050482902</v>
      </c>
      <c r="E86" s="7">
        <v>13</v>
      </c>
      <c r="Q86" s="2">
        <v>4.7132742503509002</v>
      </c>
    </row>
    <row r="87" spans="1:23" x14ac:dyDescent="0.3">
      <c r="A87" s="7">
        <v>41</v>
      </c>
      <c r="B87" s="7">
        <v>90318</v>
      </c>
      <c r="C87" s="7">
        <v>4</v>
      </c>
      <c r="D87" s="7">
        <v>2.75588568282254</v>
      </c>
      <c r="E87" s="7">
        <v>3</v>
      </c>
      <c r="Q87" s="2">
        <v>4.8666192761746698</v>
      </c>
    </row>
    <row r="88" spans="1:23" x14ac:dyDescent="0.3">
      <c r="A88" s="7">
        <v>43</v>
      </c>
      <c r="B88" s="7">
        <v>179736</v>
      </c>
      <c r="C88" s="7">
        <v>33</v>
      </c>
      <c r="D88" s="7">
        <v>1.3138255253690601</v>
      </c>
      <c r="E88" s="7">
        <v>9</v>
      </c>
      <c r="Q88" s="2">
        <v>4.8544799083570096</v>
      </c>
    </row>
    <row r="89" spans="1:23" x14ac:dyDescent="0.3">
      <c r="A89" s="7">
        <v>42</v>
      </c>
      <c r="B89" s="7">
        <v>92172</v>
      </c>
      <c r="C89" s="7">
        <v>14</v>
      </c>
      <c r="D89" s="7">
        <v>1.10140297366183</v>
      </c>
      <c r="E89" s="7">
        <v>17</v>
      </c>
      <c r="Q89" s="2">
        <v>4.4120378218694398</v>
      </c>
    </row>
    <row r="90" spans="1:23" x14ac:dyDescent="0.3">
      <c r="A90" s="7">
        <v>62</v>
      </c>
      <c r="B90" s="7">
        <v>118264</v>
      </c>
      <c r="C90" s="7">
        <v>21</v>
      </c>
      <c r="D90" s="7">
        <v>4.8505936587117002</v>
      </c>
      <c r="E90" s="7">
        <v>17</v>
      </c>
      <c r="Q90" s="2">
        <v>4.4045466860674196</v>
      </c>
    </row>
    <row r="91" spans="1:23" x14ac:dyDescent="0.3">
      <c r="A91" s="7">
        <v>58</v>
      </c>
      <c r="B91" s="7">
        <v>51736</v>
      </c>
      <c r="C91" s="7">
        <v>48</v>
      </c>
      <c r="D91" s="7">
        <v>4.3439204820488202</v>
      </c>
      <c r="E91" s="7">
        <v>16</v>
      </c>
      <c r="Q91" s="2">
        <v>3.2272050498334002</v>
      </c>
    </row>
    <row r="92" spans="1:23" x14ac:dyDescent="0.3">
      <c r="A92" s="7">
        <v>46</v>
      </c>
      <c r="B92" s="7">
        <v>137859</v>
      </c>
      <c r="C92" s="7">
        <v>20</v>
      </c>
      <c r="D92" s="7">
        <v>3.7838968243747901</v>
      </c>
      <c r="E92" s="7">
        <v>13</v>
      </c>
      <c r="Q92" s="2">
        <v>4.7446190966431203</v>
      </c>
    </row>
    <row r="93" spans="1:23" x14ac:dyDescent="0.3">
      <c r="A93" s="7">
        <v>32</v>
      </c>
      <c r="B93" s="7">
        <v>137181</v>
      </c>
      <c r="C93" s="7">
        <v>8</v>
      </c>
      <c r="D93" s="7">
        <v>2.6358117776570702</v>
      </c>
      <c r="E93" s="7">
        <v>19</v>
      </c>
      <c r="Q93" s="2">
        <v>3.7841191866998898</v>
      </c>
    </row>
    <row r="94" spans="1:23" x14ac:dyDescent="0.3">
      <c r="A94" s="7">
        <v>62</v>
      </c>
      <c r="B94" s="7">
        <v>156926</v>
      </c>
      <c r="C94" s="7">
        <v>7</v>
      </c>
      <c r="D94" s="7">
        <v>1.69317728028338</v>
      </c>
      <c r="E94" s="7">
        <v>17</v>
      </c>
      <c r="Q94" s="2">
        <v>3.2802446803574599</v>
      </c>
    </row>
    <row r="95" spans="1:23" x14ac:dyDescent="0.3">
      <c r="A95" s="7">
        <v>18</v>
      </c>
      <c r="B95" s="7">
        <v>115084</v>
      </c>
      <c r="C95" s="7">
        <v>3</v>
      </c>
      <c r="D95" s="7">
        <v>1.62574817068434</v>
      </c>
      <c r="E95" s="7">
        <v>4</v>
      </c>
      <c r="N95" s="20"/>
      <c r="O95" s="20"/>
      <c r="Q95" s="4">
        <v>3.4600289067966701</v>
      </c>
      <c r="R95" s="20"/>
      <c r="S95" s="20"/>
      <c r="T95" s="20"/>
      <c r="U95" s="20"/>
      <c r="V95" s="20"/>
      <c r="W95" s="20"/>
    </row>
    <row r="96" spans="1:23" x14ac:dyDescent="0.3">
      <c r="A96" s="7">
        <v>42</v>
      </c>
      <c r="B96" s="7">
        <v>32392</v>
      </c>
      <c r="C96" s="7">
        <v>17</v>
      </c>
      <c r="D96" s="7">
        <v>2.00097159265838</v>
      </c>
      <c r="E96" s="7">
        <v>12</v>
      </c>
      <c r="Q96" s="2">
        <v>4.9602154004170496</v>
      </c>
    </row>
    <row r="97" spans="1:17" x14ac:dyDescent="0.3">
      <c r="A97" s="7">
        <v>24</v>
      </c>
      <c r="B97" s="7">
        <v>80680</v>
      </c>
      <c r="C97" s="7">
        <v>33</v>
      </c>
      <c r="D97" s="7">
        <v>3.1969066588244801</v>
      </c>
      <c r="E97" s="7">
        <v>9</v>
      </c>
      <c r="Q97" s="2">
        <v>3.0733186094549398</v>
      </c>
    </row>
    <row r="98" spans="1:17" x14ac:dyDescent="0.3">
      <c r="A98" s="7">
        <v>26</v>
      </c>
      <c r="B98" s="7">
        <v>75859</v>
      </c>
      <c r="C98" s="7">
        <v>48</v>
      </c>
      <c r="D98" s="7">
        <v>3.85838369080024</v>
      </c>
      <c r="E98" s="7">
        <v>19</v>
      </c>
      <c r="Q98" s="2">
        <v>4.5094922877118204</v>
      </c>
    </row>
    <row r="99" spans="1:17" x14ac:dyDescent="0.3">
      <c r="A99" s="7">
        <v>41</v>
      </c>
      <c r="B99" s="7">
        <v>150657</v>
      </c>
      <c r="C99" s="7">
        <v>12</v>
      </c>
      <c r="D99" s="7">
        <v>3.6407895068709202</v>
      </c>
      <c r="E99" s="7">
        <v>12</v>
      </c>
      <c r="Q99" s="2">
        <v>3.9630744710168102</v>
      </c>
    </row>
    <row r="100" spans="1:17" x14ac:dyDescent="0.3">
      <c r="A100" s="7">
        <v>18</v>
      </c>
      <c r="B100" s="7">
        <v>95467</v>
      </c>
      <c r="C100" s="7">
        <v>22</v>
      </c>
      <c r="D100" s="7">
        <v>2.11973558778377</v>
      </c>
      <c r="E100" s="7">
        <v>9</v>
      </c>
      <c r="Q100" s="2">
        <v>3.7880629639810701</v>
      </c>
    </row>
    <row r="101" spans="1:17" x14ac:dyDescent="0.3">
      <c r="A101" s="7">
        <v>61</v>
      </c>
      <c r="B101" s="7">
        <v>123506</v>
      </c>
      <c r="C101" s="7">
        <v>22</v>
      </c>
      <c r="D101" s="7">
        <v>4.8194611226527702</v>
      </c>
      <c r="E101" s="7">
        <v>7</v>
      </c>
      <c r="Q101" s="2">
        <v>3.80993633594843</v>
      </c>
    </row>
    <row r="102" spans="1:17" x14ac:dyDescent="0.3">
      <c r="Q102" s="2">
        <v>4.23744462191405</v>
      </c>
    </row>
    <row r="103" spans="1:17" x14ac:dyDescent="0.3">
      <c r="Q103" s="2">
        <v>4.2404535787167204</v>
      </c>
    </row>
    <row r="104" spans="1:17" x14ac:dyDescent="0.3">
      <c r="Q104" s="2">
        <v>4.4682892743204103</v>
      </c>
    </row>
    <row r="105" spans="1:17" x14ac:dyDescent="0.3">
      <c r="Q105" s="2">
        <v>4.6529622102258799</v>
      </c>
    </row>
    <row r="106" spans="1:17" x14ac:dyDescent="0.3">
      <c r="Q106" s="2">
        <v>3.0453695954437499</v>
      </c>
    </row>
    <row r="107" spans="1:17" x14ac:dyDescent="0.3">
      <c r="Q107" s="2">
        <v>3.00606517874879</v>
      </c>
    </row>
    <row r="108" spans="1:17" x14ac:dyDescent="0.3">
      <c r="Q108" s="2">
        <v>4.1931807158670997</v>
      </c>
    </row>
    <row r="109" spans="1:17" x14ac:dyDescent="0.3">
      <c r="Q109" s="2">
        <v>3.5998557231110602</v>
      </c>
    </row>
    <row r="110" spans="1:17" x14ac:dyDescent="0.3">
      <c r="M110">
        <v>1</v>
      </c>
      <c r="Q110" s="2">
        <v>3.8078675090308098</v>
      </c>
    </row>
    <row r="111" spans="1:17" x14ac:dyDescent="0.3">
      <c r="Q111" s="2">
        <v>4.1831706777443998</v>
      </c>
    </row>
    <row r="112" spans="1:17" x14ac:dyDescent="0.3">
      <c r="Q112" s="2">
        <v>4.5600213672702603</v>
      </c>
    </row>
    <row r="113" spans="17:17" x14ac:dyDescent="0.3">
      <c r="Q113" s="2">
        <v>3.3131205639846901</v>
      </c>
    </row>
    <row r="114" spans="17:17" x14ac:dyDescent="0.3">
      <c r="Q114" s="2">
        <v>3.1705785388302998</v>
      </c>
    </row>
    <row r="115" spans="17:17" x14ac:dyDescent="0.3">
      <c r="Q115" s="2">
        <v>3.3633330422760399</v>
      </c>
    </row>
    <row r="116" spans="17:17" x14ac:dyDescent="0.3">
      <c r="Q116" s="2">
        <v>4.2904022426386303</v>
      </c>
    </row>
    <row r="117" spans="17:17" x14ac:dyDescent="0.3">
      <c r="Q117" s="2">
        <v>3.0889730402192099</v>
      </c>
    </row>
    <row r="118" spans="17:17" x14ac:dyDescent="0.3">
      <c r="Q118" s="2">
        <v>4.0799742123944398</v>
      </c>
    </row>
    <row r="119" spans="17:17" x14ac:dyDescent="0.3">
      <c r="Q119" s="2">
        <v>3.4915619032760001</v>
      </c>
    </row>
    <row r="120" spans="17:17" x14ac:dyDescent="0.3">
      <c r="Q120" s="2">
        <v>3.1254185262725902</v>
      </c>
    </row>
    <row r="121" spans="17:17" x14ac:dyDescent="0.3">
      <c r="Q121" s="2">
        <v>3.1625404864404199</v>
      </c>
    </row>
    <row r="122" spans="17:17" x14ac:dyDescent="0.3">
      <c r="Q122" s="2">
        <v>3.54971960599282</v>
      </c>
    </row>
    <row r="123" spans="17:17" x14ac:dyDescent="0.3">
      <c r="Q123" s="2">
        <v>3.90436533489064</v>
      </c>
    </row>
    <row r="124" spans="17:17" x14ac:dyDescent="0.3">
      <c r="Q124" s="2">
        <v>4.90340831785013</v>
      </c>
    </row>
    <row r="125" spans="17:17" x14ac:dyDescent="0.3">
      <c r="Q125" s="2">
        <v>3.0652013932047799</v>
      </c>
    </row>
    <row r="126" spans="17:17" x14ac:dyDescent="0.3">
      <c r="Q126" s="2">
        <v>4.1807447790748098</v>
      </c>
    </row>
    <row r="127" spans="17:17" x14ac:dyDescent="0.3">
      <c r="Q127" s="2">
        <v>4.8505936587117002</v>
      </c>
    </row>
    <row r="128" spans="17:17" x14ac:dyDescent="0.3">
      <c r="Q128" s="2">
        <v>4.3439204820488202</v>
      </c>
    </row>
    <row r="129" spans="17:17" x14ac:dyDescent="0.3">
      <c r="Q129" s="2">
        <v>3.7838968243747901</v>
      </c>
    </row>
    <row r="130" spans="17:17" x14ac:dyDescent="0.3">
      <c r="Q130" s="2">
        <v>3.1969066588244801</v>
      </c>
    </row>
    <row r="131" spans="17:17" x14ac:dyDescent="0.3">
      <c r="Q131" s="2">
        <v>3.85838369080024</v>
      </c>
    </row>
    <row r="132" spans="17:17" x14ac:dyDescent="0.3">
      <c r="Q132" s="2">
        <v>3.6407895068709202</v>
      </c>
    </row>
    <row r="133" spans="17:17" x14ac:dyDescent="0.3">
      <c r="Q133" s="2">
        <v>4.8194611226527702</v>
      </c>
    </row>
  </sheetData>
  <autoFilter ref="A1:E101" xr:uid="{0D6723A2-9039-482B-983D-339B6F4C950A}"/>
  <phoneticPr fontId="1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23CF3-1059-4796-BB99-7BCE788EB33A}">
  <dimension ref="A1:N112"/>
  <sheetViews>
    <sheetView tabSelected="1" workbookViewId="0">
      <selection activeCell="N71" sqref="N71"/>
    </sheetView>
  </sheetViews>
  <sheetFormatPr defaultRowHeight="14.4" x14ac:dyDescent="0.3"/>
  <cols>
    <col min="1" max="1" width="12.5546875" bestFit="1" customWidth="1"/>
    <col min="2" max="2" width="21.5546875" bestFit="1" customWidth="1"/>
    <col min="9" max="9" width="14.77734375" bestFit="1" customWidth="1"/>
    <col min="10" max="10" width="21.5546875" bestFit="1" customWidth="1"/>
    <col min="11" max="12" width="13.21875" bestFit="1" customWidth="1"/>
  </cols>
  <sheetData>
    <row r="1" spans="1:14" x14ac:dyDescent="0.3">
      <c r="A1" t="s">
        <v>20</v>
      </c>
      <c r="I1" t="s">
        <v>23</v>
      </c>
    </row>
    <row r="2" spans="1:14" x14ac:dyDescent="0.3">
      <c r="A2" s="22" t="s">
        <v>51</v>
      </c>
      <c r="B2" t="s">
        <v>53</v>
      </c>
      <c r="I2" s="22" t="s">
        <v>51</v>
      </c>
      <c r="J2" t="s">
        <v>53</v>
      </c>
      <c r="K2" t="s">
        <v>55</v>
      </c>
      <c r="L2" t="s">
        <v>56</v>
      </c>
    </row>
    <row r="3" spans="1:14" x14ac:dyDescent="0.3">
      <c r="A3" s="19" t="s">
        <v>52</v>
      </c>
      <c r="B3" s="23">
        <v>111017.48484848485</v>
      </c>
      <c r="I3" s="19" t="s">
        <v>52</v>
      </c>
      <c r="J3" s="23">
        <v>111017.48484848485</v>
      </c>
      <c r="K3" s="23">
        <v>178371</v>
      </c>
      <c r="L3" s="23">
        <v>38545</v>
      </c>
    </row>
    <row r="4" spans="1:14" x14ac:dyDescent="0.3">
      <c r="A4" s="19" t="s">
        <v>65</v>
      </c>
      <c r="B4" s="23">
        <v>109273.37142857142</v>
      </c>
      <c r="I4" s="19" t="s">
        <v>65</v>
      </c>
      <c r="J4" s="23">
        <v>109273.37142857142</v>
      </c>
      <c r="K4" s="23">
        <v>179736</v>
      </c>
      <c r="L4" s="23">
        <v>32392</v>
      </c>
    </row>
    <row r="5" spans="1:14" x14ac:dyDescent="0.3">
      <c r="A5" s="19" t="s">
        <v>66</v>
      </c>
      <c r="B5" s="23">
        <v>109643.28571428571</v>
      </c>
      <c r="I5" s="19" t="s">
        <v>66</v>
      </c>
      <c r="J5" s="23">
        <v>109643.28571428571</v>
      </c>
      <c r="K5" s="23">
        <v>177906</v>
      </c>
      <c r="L5" s="23">
        <v>27693</v>
      </c>
    </row>
    <row r="6" spans="1:14" x14ac:dyDescent="0.3">
      <c r="A6" s="19" t="s">
        <v>67</v>
      </c>
      <c r="B6" s="23">
        <v>93498.5</v>
      </c>
      <c r="I6" s="19" t="s">
        <v>67</v>
      </c>
      <c r="J6" s="23">
        <v>93498.5</v>
      </c>
      <c r="K6" s="23">
        <v>156278</v>
      </c>
      <c r="L6" s="23">
        <v>50939</v>
      </c>
    </row>
    <row r="11" spans="1:14" x14ac:dyDescent="0.3">
      <c r="A11" t="s">
        <v>21</v>
      </c>
      <c r="I11" t="s">
        <v>22</v>
      </c>
    </row>
    <row r="12" spans="1:14" x14ac:dyDescent="0.3">
      <c r="A12" s="22" t="s">
        <v>51</v>
      </c>
      <c r="B12" t="s">
        <v>54</v>
      </c>
      <c r="I12" s="22" t="s">
        <v>51</v>
      </c>
      <c r="J12" t="s">
        <v>57</v>
      </c>
      <c r="N12" t="s">
        <v>25</v>
      </c>
    </row>
    <row r="13" spans="1:14" x14ac:dyDescent="0.3">
      <c r="A13" s="19">
        <v>1.0618264661154599</v>
      </c>
      <c r="B13">
        <v>26</v>
      </c>
      <c r="I13" s="19">
        <v>1</v>
      </c>
      <c r="J13">
        <v>6</v>
      </c>
    </row>
    <row r="14" spans="1:14" x14ac:dyDescent="0.3">
      <c r="A14" s="19">
        <v>1.09726386572581</v>
      </c>
      <c r="B14">
        <v>6</v>
      </c>
      <c r="I14" s="19">
        <v>2</v>
      </c>
      <c r="J14">
        <v>4</v>
      </c>
    </row>
    <row r="15" spans="1:14" x14ac:dyDescent="0.3">
      <c r="A15" s="19">
        <v>1.10140297366183</v>
      </c>
      <c r="B15">
        <v>14</v>
      </c>
      <c r="I15" s="19">
        <v>3</v>
      </c>
      <c r="J15">
        <v>7</v>
      </c>
    </row>
    <row r="16" spans="1:14" x14ac:dyDescent="0.3">
      <c r="A16" s="19">
        <v>1.1220009997561899</v>
      </c>
      <c r="B16">
        <v>8</v>
      </c>
      <c r="I16" s="19">
        <v>4</v>
      </c>
      <c r="J16">
        <v>8</v>
      </c>
    </row>
    <row r="17" spans="1:10" x14ac:dyDescent="0.3">
      <c r="A17" s="19">
        <v>1.1437690951869599</v>
      </c>
      <c r="B17">
        <v>24</v>
      </c>
      <c r="I17" s="19">
        <v>5</v>
      </c>
      <c r="J17">
        <v>10</v>
      </c>
    </row>
    <row r="18" spans="1:10" x14ac:dyDescent="0.3">
      <c r="A18" s="19">
        <v>1.1493927549968499</v>
      </c>
      <c r="B18">
        <v>36</v>
      </c>
      <c r="I18" s="19">
        <v>7</v>
      </c>
      <c r="J18">
        <v>5</v>
      </c>
    </row>
    <row r="19" spans="1:10" x14ac:dyDescent="0.3">
      <c r="A19" s="19">
        <v>1.2067268846744299</v>
      </c>
      <c r="B19">
        <v>29</v>
      </c>
      <c r="I19" s="19">
        <v>8</v>
      </c>
      <c r="J19">
        <v>2</v>
      </c>
    </row>
    <row r="20" spans="1:10" x14ac:dyDescent="0.3">
      <c r="A20" s="19">
        <v>1.3138255253690601</v>
      </c>
      <c r="B20">
        <v>33</v>
      </c>
      <c r="I20" s="19">
        <v>9</v>
      </c>
      <c r="J20">
        <v>5</v>
      </c>
    </row>
    <row r="21" spans="1:10" x14ac:dyDescent="0.3">
      <c r="A21" s="19">
        <v>1.34138985997507</v>
      </c>
      <c r="B21">
        <v>25</v>
      </c>
      <c r="I21" s="19">
        <v>10</v>
      </c>
      <c r="J21">
        <v>5</v>
      </c>
    </row>
    <row r="22" spans="1:10" x14ac:dyDescent="0.3">
      <c r="A22" s="19">
        <v>1.37592775936347</v>
      </c>
      <c r="B22">
        <v>3</v>
      </c>
      <c r="I22" s="19">
        <v>11</v>
      </c>
      <c r="J22">
        <v>3</v>
      </c>
    </row>
    <row r="23" spans="1:10" x14ac:dyDescent="0.3">
      <c r="A23" s="19">
        <v>1.3887059750830699</v>
      </c>
      <c r="B23">
        <v>25</v>
      </c>
      <c r="I23" s="19">
        <v>12</v>
      </c>
      <c r="J23">
        <v>9</v>
      </c>
    </row>
    <row r="24" spans="1:10" x14ac:dyDescent="0.3">
      <c r="A24" s="19">
        <v>1.50824205060753</v>
      </c>
      <c r="B24">
        <v>20</v>
      </c>
      <c r="I24" s="19">
        <v>13</v>
      </c>
      <c r="J24">
        <v>5</v>
      </c>
    </row>
    <row r="25" spans="1:10" x14ac:dyDescent="0.3">
      <c r="A25" s="19">
        <v>1.5603360609460899</v>
      </c>
      <c r="B25">
        <v>30</v>
      </c>
      <c r="I25" s="19">
        <v>14</v>
      </c>
      <c r="J25">
        <v>3</v>
      </c>
    </row>
    <row r="26" spans="1:10" x14ac:dyDescent="0.3">
      <c r="A26" s="19">
        <v>1.62574817068434</v>
      </c>
      <c r="B26">
        <v>3</v>
      </c>
      <c r="I26" s="19">
        <v>15</v>
      </c>
      <c r="J26">
        <v>1</v>
      </c>
    </row>
    <row r="27" spans="1:10" x14ac:dyDescent="0.3">
      <c r="A27" s="19">
        <v>1.67797098674437</v>
      </c>
      <c r="B27">
        <v>18</v>
      </c>
      <c r="I27" s="19">
        <v>16</v>
      </c>
      <c r="J27">
        <v>7</v>
      </c>
    </row>
    <row r="28" spans="1:10" x14ac:dyDescent="0.3">
      <c r="A28" s="19">
        <v>1.69317728028338</v>
      </c>
      <c r="B28">
        <v>7</v>
      </c>
      <c r="I28" s="19">
        <v>17</v>
      </c>
      <c r="J28">
        <v>9</v>
      </c>
    </row>
    <row r="29" spans="1:10" x14ac:dyDescent="0.3">
      <c r="A29" s="19">
        <v>1.70844271762819</v>
      </c>
      <c r="B29">
        <v>29</v>
      </c>
      <c r="I29" s="19">
        <v>18</v>
      </c>
      <c r="J29">
        <v>4</v>
      </c>
    </row>
    <row r="30" spans="1:10" x14ac:dyDescent="0.3">
      <c r="A30" s="19">
        <v>1.78097195119217</v>
      </c>
      <c r="B30">
        <v>16</v>
      </c>
      <c r="I30" s="19">
        <v>19</v>
      </c>
      <c r="J30">
        <v>7</v>
      </c>
    </row>
    <row r="31" spans="1:10" x14ac:dyDescent="0.3">
      <c r="A31" s="19">
        <v>1.86328410998737</v>
      </c>
      <c r="B31">
        <v>25</v>
      </c>
    </row>
    <row r="32" spans="1:10" x14ac:dyDescent="0.3">
      <c r="A32" s="19">
        <v>1.9759585735163301</v>
      </c>
      <c r="B32">
        <v>17</v>
      </c>
      <c r="I32" t="s">
        <v>24</v>
      </c>
    </row>
    <row r="33" spans="1:10" x14ac:dyDescent="0.3">
      <c r="A33" s="19">
        <v>2.00097159265838</v>
      </c>
      <c r="B33">
        <v>17</v>
      </c>
      <c r="I33" s="22" t="s">
        <v>51</v>
      </c>
      <c r="J33" t="s">
        <v>54</v>
      </c>
    </row>
    <row r="34" spans="1:10" x14ac:dyDescent="0.3">
      <c r="A34" s="19">
        <v>2.0833290050482902</v>
      </c>
      <c r="B34">
        <v>33</v>
      </c>
      <c r="I34" s="19" t="s">
        <v>58</v>
      </c>
      <c r="J34">
        <v>385</v>
      </c>
    </row>
    <row r="35" spans="1:10" x14ac:dyDescent="0.3">
      <c r="A35" s="19">
        <v>2.11973558778377</v>
      </c>
      <c r="B35">
        <v>22</v>
      </c>
      <c r="I35" s="19" t="s">
        <v>59</v>
      </c>
      <c r="J35">
        <v>227</v>
      </c>
    </row>
    <row r="36" spans="1:10" x14ac:dyDescent="0.3">
      <c r="A36" s="19">
        <v>2.1230894497634201</v>
      </c>
      <c r="B36">
        <v>9</v>
      </c>
      <c r="I36" s="19" t="s">
        <v>60</v>
      </c>
      <c r="J36">
        <v>460</v>
      </c>
    </row>
    <row r="37" spans="1:10" x14ac:dyDescent="0.3">
      <c r="A37" s="19">
        <v>2.1461650085131301</v>
      </c>
      <c r="B37">
        <v>11</v>
      </c>
      <c r="I37" s="19" t="s">
        <v>61</v>
      </c>
      <c r="J37">
        <v>254</v>
      </c>
    </row>
    <row r="38" spans="1:10" x14ac:dyDescent="0.3">
      <c r="A38" s="19">
        <v>2.1743673770579699</v>
      </c>
      <c r="B38">
        <v>49</v>
      </c>
      <c r="I38" s="19" t="s">
        <v>62</v>
      </c>
      <c r="J38">
        <v>565</v>
      </c>
    </row>
    <row r="39" spans="1:10" x14ac:dyDescent="0.3">
      <c r="A39" s="19">
        <v>2.1777955682783401</v>
      </c>
      <c r="B39">
        <v>41</v>
      </c>
      <c r="I39" s="19" t="s">
        <v>63</v>
      </c>
      <c r="J39">
        <v>430</v>
      </c>
    </row>
    <row r="40" spans="1:10" x14ac:dyDescent="0.3">
      <c r="A40" s="19">
        <v>2.2676880206251102</v>
      </c>
      <c r="B40">
        <v>39</v>
      </c>
      <c r="I40" s="19" t="s">
        <v>64</v>
      </c>
      <c r="J40">
        <v>126</v>
      </c>
    </row>
    <row r="41" spans="1:10" x14ac:dyDescent="0.3">
      <c r="A41" s="19">
        <v>2.2918258917649799</v>
      </c>
      <c r="B41">
        <v>41</v>
      </c>
    </row>
    <row r="42" spans="1:10" x14ac:dyDescent="0.3">
      <c r="A42" s="19">
        <v>2.3519806274061401</v>
      </c>
      <c r="B42">
        <v>48</v>
      </c>
    </row>
    <row r="43" spans="1:10" x14ac:dyDescent="0.3">
      <c r="A43" s="19">
        <v>2.4379646048790198</v>
      </c>
      <c r="B43">
        <v>48</v>
      </c>
    </row>
    <row r="44" spans="1:10" x14ac:dyDescent="0.3">
      <c r="A44" s="19">
        <v>2.4407625656450498</v>
      </c>
      <c r="B44">
        <v>40</v>
      </c>
    </row>
    <row r="45" spans="1:10" x14ac:dyDescent="0.3">
      <c r="A45" s="19">
        <v>2.48063480102177</v>
      </c>
      <c r="B45">
        <v>19</v>
      </c>
    </row>
    <row r="46" spans="1:10" x14ac:dyDescent="0.3">
      <c r="A46" s="19">
        <v>2.5023318105597698</v>
      </c>
      <c r="B46">
        <v>16</v>
      </c>
    </row>
    <row r="47" spans="1:10" x14ac:dyDescent="0.3">
      <c r="A47" s="19">
        <v>2.5403909144077002</v>
      </c>
      <c r="B47">
        <v>33</v>
      </c>
    </row>
    <row r="48" spans="1:10" x14ac:dyDescent="0.3">
      <c r="A48" s="19">
        <v>2.5723908986670398</v>
      </c>
      <c r="B48">
        <v>24</v>
      </c>
    </row>
    <row r="49" spans="1:2" x14ac:dyDescent="0.3">
      <c r="A49" s="19">
        <v>2.6358117776570702</v>
      </c>
      <c r="B49">
        <v>8</v>
      </c>
    </row>
    <row r="50" spans="1:2" x14ac:dyDescent="0.3">
      <c r="A50" s="19">
        <v>2.7127365932692502</v>
      </c>
      <c r="B50">
        <v>19</v>
      </c>
    </row>
    <row r="51" spans="1:2" x14ac:dyDescent="0.3">
      <c r="A51" s="19">
        <v>2.75588568282254</v>
      </c>
      <c r="B51">
        <v>4</v>
      </c>
    </row>
    <row r="52" spans="1:2" x14ac:dyDescent="0.3">
      <c r="A52" s="19">
        <v>2.8623920725298402</v>
      </c>
      <c r="B52">
        <v>33</v>
      </c>
    </row>
    <row r="53" spans="1:2" x14ac:dyDescent="0.3">
      <c r="A53" s="19">
        <v>2.9700707752754498</v>
      </c>
      <c r="B53">
        <v>48</v>
      </c>
    </row>
    <row r="54" spans="1:2" x14ac:dyDescent="0.3">
      <c r="A54" s="19">
        <v>3.00606517874879</v>
      </c>
      <c r="B54">
        <v>37</v>
      </c>
    </row>
    <row r="55" spans="1:2" x14ac:dyDescent="0.3">
      <c r="A55" s="19">
        <v>3.01054837242076</v>
      </c>
      <c r="B55">
        <v>22</v>
      </c>
    </row>
    <row r="56" spans="1:2" x14ac:dyDescent="0.3">
      <c r="A56" s="19">
        <v>3.0453695954437499</v>
      </c>
      <c r="B56">
        <v>5</v>
      </c>
    </row>
    <row r="57" spans="1:2" x14ac:dyDescent="0.3">
      <c r="A57" s="19">
        <v>3.0652013932047799</v>
      </c>
      <c r="B57">
        <v>16</v>
      </c>
    </row>
    <row r="58" spans="1:2" x14ac:dyDescent="0.3">
      <c r="A58" s="19">
        <v>3.0733186094549398</v>
      </c>
      <c r="B58">
        <v>42</v>
      </c>
    </row>
    <row r="59" spans="1:2" x14ac:dyDescent="0.3">
      <c r="A59" s="19">
        <v>3.0889730402192099</v>
      </c>
      <c r="B59">
        <v>35</v>
      </c>
    </row>
    <row r="60" spans="1:2" x14ac:dyDescent="0.3">
      <c r="A60" s="19">
        <v>3.1254185262725902</v>
      </c>
      <c r="B60">
        <v>18</v>
      </c>
    </row>
    <row r="61" spans="1:2" x14ac:dyDescent="0.3">
      <c r="A61" s="19">
        <v>3.1625404864404199</v>
      </c>
      <c r="B61">
        <v>46</v>
      </c>
    </row>
    <row r="62" spans="1:2" x14ac:dyDescent="0.3">
      <c r="A62" s="19">
        <v>3.1705785388302998</v>
      </c>
      <c r="B62">
        <v>24</v>
      </c>
    </row>
    <row r="63" spans="1:2" x14ac:dyDescent="0.3">
      <c r="A63" s="19">
        <v>3.1969066588244801</v>
      </c>
      <c r="B63">
        <v>33</v>
      </c>
    </row>
    <row r="64" spans="1:2" x14ac:dyDescent="0.3">
      <c r="A64" s="19">
        <v>3.2272050498334002</v>
      </c>
      <c r="B64">
        <v>40</v>
      </c>
    </row>
    <row r="65" spans="1:2" x14ac:dyDescent="0.3">
      <c r="A65" s="19">
        <v>3.2802446803574599</v>
      </c>
      <c r="B65">
        <v>28</v>
      </c>
    </row>
    <row r="66" spans="1:2" x14ac:dyDescent="0.3">
      <c r="A66" s="19">
        <v>3.3076155385054302</v>
      </c>
      <c r="B66">
        <v>11</v>
      </c>
    </row>
    <row r="67" spans="1:2" x14ac:dyDescent="0.3">
      <c r="A67" s="19">
        <v>3.3131205639846901</v>
      </c>
      <c r="B67">
        <v>20</v>
      </c>
    </row>
    <row r="68" spans="1:2" x14ac:dyDescent="0.3">
      <c r="A68" s="19">
        <v>3.3633330422760399</v>
      </c>
      <c r="B68">
        <v>49</v>
      </c>
    </row>
    <row r="69" spans="1:2" x14ac:dyDescent="0.3">
      <c r="A69" s="19">
        <v>3.4600289067966701</v>
      </c>
      <c r="B69">
        <v>23</v>
      </c>
    </row>
    <row r="70" spans="1:2" x14ac:dyDescent="0.3">
      <c r="A70" s="19">
        <v>3.4915619032760001</v>
      </c>
      <c r="B70">
        <v>35</v>
      </c>
    </row>
    <row r="71" spans="1:2" x14ac:dyDescent="0.3">
      <c r="A71" s="19">
        <v>3.5245545039890498</v>
      </c>
      <c r="B71">
        <v>34</v>
      </c>
    </row>
    <row r="72" spans="1:2" x14ac:dyDescent="0.3">
      <c r="A72" s="19">
        <v>3.54971960599282</v>
      </c>
      <c r="B72">
        <v>18</v>
      </c>
    </row>
    <row r="73" spans="1:2" x14ac:dyDescent="0.3">
      <c r="A73" s="19">
        <v>3.5818891836286699</v>
      </c>
      <c r="B73">
        <v>16</v>
      </c>
    </row>
    <row r="74" spans="1:2" x14ac:dyDescent="0.3">
      <c r="A74" s="19">
        <v>3.5998557231110602</v>
      </c>
      <c r="B74">
        <v>9</v>
      </c>
    </row>
    <row r="75" spans="1:2" x14ac:dyDescent="0.3">
      <c r="A75" s="19">
        <v>3.6407895068709202</v>
      </c>
      <c r="B75">
        <v>12</v>
      </c>
    </row>
    <row r="76" spans="1:2" x14ac:dyDescent="0.3">
      <c r="A76" s="19">
        <v>3.7838968243747901</v>
      </c>
      <c r="B76">
        <v>20</v>
      </c>
    </row>
    <row r="77" spans="1:2" x14ac:dyDescent="0.3">
      <c r="A77" s="19">
        <v>3.7841191866998898</v>
      </c>
      <c r="B77">
        <v>11</v>
      </c>
    </row>
    <row r="78" spans="1:2" x14ac:dyDescent="0.3">
      <c r="A78" s="19">
        <v>3.7880629639810701</v>
      </c>
      <c r="B78">
        <v>16</v>
      </c>
    </row>
    <row r="79" spans="1:2" x14ac:dyDescent="0.3">
      <c r="A79" s="19">
        <v>3.8078675090308098</v>
      </c>
      <c r="B79">
        <v>41</v>
      </c>
    </row>
    <row r="80" spans="1:2" x14ac:dyDescent="0.3">
      <c r="A80" s="19">
        <v>3.80993633594843</v>
      </c>
      <c r="B80">
        <v>26</v>
      </c>
    </row>
    <row r="81" spans="1:2" x14ac:dyDescent="0.3">
      <c r="A81" s="19">
        <v>3.85838369080024</v>
      </c>
      <c r="B81">
        <v>48</v>
      </c>
    </row>
    <row r="82" spans="1:2" x14ac:dyDescent="0.3">
      <c r="A82" s="19">
        <v>3.88980846104602</v>
      </c>
      <c r="B82">
        <v>33</v>
      </c>
    </row>
    <row r="83" spans="1:2" x14ac:dyDescent="0.3">
      <c r="A83" s="19">
        <v>3.90436533489064</v>
      </c>
      <c r="B83">
        <v>2</v>
      </c>
    </row>
    <row r="84" spans="1:2" x14ac:dyDescent="0.3">
      <c r="A84" s="19">
        <v>3.9630744710168102</v>
      </c>
      <c r="B84">
        <v>7</v>
      </c>
    </row>
    <row r="85" spans="1:2" x14ac:dyDescent="0.3">
      <c r="A85" s="19">
        <v>4.0799742123944398</v>
      </c>
      <c r="B85">
        <v>48</v>
      </c>
    </row>
    <row r="86" spans="1:2" x14ac:dyDescent="0.3">
      <c r="A86" s="19">
        <v>4.1792452141665901</v>
      </c>
      <c r="B86">
        <v>6</v>
      </c>
    </row>
    <row r="87" spans="1:2" x14ac:dyDescent="0.3">
      <c r="A87" s="19">
        <v>4.1807447790748098</v>
      </c>
      <c r="B87">
        <v>36</v>
      </c>
    </row>
    <row r="88" spans="1:2" x14ac:dyDescent="0.3">
      <c r="A88" s="19">
        <v>4.1831706777443998</v>
      </c>
      <c r="B88">
        <v>35</v>
      </c>
    </row>
    <row r="89" spans="1:2" x14ac:dyDescent="0.3">
      <c r="A89" s="19">
        <v>4.1931807158670997</v>
      </c>
      <c r="B89">
        <v>32</v>
      </c>
    </row>
    <row r="90" spans="1:2" x14ac:dyDescent="0.3">
      <c r="A90" s="19">
        <v>4.23744462191405</v>
      </c>
      <c r="B90">
        <v>2</v>
      </c>
    </row>
    <row r="91" spans="1:2" x14ac:dyDescent="0.3">
      <c r="A91" s="19">
        <v>4.2404535787167204</v>
      </c>
      <c r="B91">
        <v>1</v>
      </c>
    </row>
    <row r="92" spans="1:2" x14ac:dyDescent="0.3">
      <c r="A92" s="19">
        <v>4.2904022426386303</v>
      </c>
      <c r="B92">
        <v>38</v>
      </c>
    </row>
    <row r="93" spans="1:2" x14ac:dyDescent="0.3">
      <c r="A93" s="19">
        <v>4.3439204820488202</v>
      </c>
      <c r="B93">
        <v>48</v>
      </c>
    </row>
    <row r="94" spans="1:2" x14ac:dyDescent="0.3">
      <c r="A94" s="19">
        <v>4.4045466860674196</v>
      </c>
      <c r="B94">
        <v>40</v>
      </c>
    </row>
    <row r="95" spans="1:2" x14ac:dyDescent="0.3">
      <c r="A95" s="19">
        <v>4.4120378218694398</v>
      </c>
      <c r="B95">
        <v>7</v>
      </c>
    </row>
    <row r="96" spans="1:2" x14ac:dyDescent="0.3">
      <c r="A96" s="19">
        <v>4.4682892743204103</v>
      </c>
      <c r="B96">
        <v>48</v>
      </c>
    </row>
    <row r="97" spans="1:2" x14ac:dyDescent="0.3">
      <c r="A97" s="19">
        <v>4.5094922877118204</v>
      </c>
      <c r="B97">
        <v>35</v>
      </c>
    </row>
    <row r="98" spans="1:2" x14ac:dyDescent="0.3">
      <c r="A98" s="19">
        <v>4.5600213672702603</v>
      </c>
      <c r="B98">
        <v>19</v>
      </c>
    </row>
    <row r="99" spans="1:2" x14ac:dyDescent="0.3">
      <c r="A99" s="19">
        <v>4.5681862207084496</v>
      </c>
      <c r="B99">
        <v>5</v>
      </c>
    </row>
    <row r="100" spans="1:2" x14ac:dyDescent="0.3">
      <c r="A100" s="19">
        <v>4.6529622102258799</v>
      </c>
      <c r="B100">
        <v>12</v>
      </c>
    </row>
    <row r="101" spans="1:2" x14ac:dyDescent="0.3">
      <c r="A101" s="19">
        <v>4.6594575608817896</v>
      </c>
      <c r="B101">
        <v>36</v>
      </c>
    </row>
    <row r="102" spans="1:2" x14ac:dyDescent="0.3">
      <c r="A102" s="19">
        <v>4.7132742503509002</v>
      </c>
      <c r="B102">
        <v>3</v>
      </c>
    </row>
    <row r="103" spans="1:2" x14ac:dyDescent="0.3">
      <c r="A103" s="19">
        <v>4.7446190966431203</v>
      </c>
      <c r="B103">
        <v>1</v>
      </c>
    </row>
    <row r="104" spans="1:2" x14ac:dyDescent="0.3">
      <c r="A104" s="19">
        <v>4.7618343374116501</v>
      </c>
      <c r="B104">
        <v>3</v>
      </c>
    </row>
    <row r="105" spans="1:2" x14ac:dyDescent="0.3">
      <c r="A105" s="19">
        <v>4.8157143080103397</v>
      </c>
      <c r="B105">
        <v>20</v>
      </c>
    </row>
    <row r="106" spans="1:2" x14ac:dyDescent="0.3">
      <c r="A106" s="19">
        <v>4.8194611226527702</v>
      </c>
      <c r="B106">
        <v>22</v>
      </c>
    </row>
    <row r="107" spans="1:2" x14ac:dyDescent="0.3">
      <c r="A107" s="19">
        <v>4.8505936587117002</v>
      </c>
      <c r="B107">
        <v>21</v>
      </c>
    </row>
    <row r="108" spans="1:2" x14ac:dyDescent="0.3">
      <c r="A108" s="19">
        <v>4.8544799083570096</v>
      </c>
      <c r="B108">
        <v>32</v>
      </c>
    </row>
    <row r="109" spans="1:2" x14ac:dyDescent="0.3">
      <c r="A109" s="19">
        <v>4.8666192761746698</v>
      </c>
      <c r="B109">
        <v>20</v>
      </c>
    </row>
    <row r="110" spans="1:2" x14ac:dyDescent="0.3">
      <c r="A110" s="19">
        <v>4.8920422190097801</v>
      </c>
      <c r="B110">
        <v>38</v>
      </c>
    </row>
    <row r="111" spans="1:2" x14ac:dyDescent="0.3">
      <c r="A111" s="19">
        <v>4.90340831785013</v>
      </c>
      <c r="B111">
        <v>35</v>
      </c>
    </row>
    <row r="112" spans="1:2" x14ac:dyDescent="0.3">
      <c r="A112" s="19">
        <v>4.9602154004170496</v>
      </c>
      <c r="B11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Assignment_Data7 to 10</vt:lpstr>
      <vt:lpstr>Pivot 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Snehal Genge</cp:lastModifiedBy>
  <dcterms:created xsi:type="dcterms:W3CDTF">2026-09-24T06:15:38Z</dcterms:created>
  <dcterms:modified xsi:type="dcterms:W3CDTF">2026-09-24T14:32:29Z</dcterms:modified>
</cp:coreProperties>
</file>